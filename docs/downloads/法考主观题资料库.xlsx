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298981cd784cdd" /></Relationships>
</file>

<file path=xl/workbook.xml><?xml version="1.0" encoding="utf-8"?>
<x:workbook xmlns:x="http://schemas.openxmlformats.org/spreadsheetml/2006/main">
  <x:sheets>
    <x:sheet xmlns:r="http://schemas.openxmlformats.org/officeDocument/2006/relationships" name="总览" sheetId="1" r:id="Rc9d80782746f4fb1"/>
    <x:sheet xmlns:r="http://schemas.openxmlformats.org/officeDocument/2006/relationships" name="2026每日一题" sheetId="2" r:id="R5da05237df024002"/>
    <x:sheet xmlns:r="http://schemas.openxmlformats.org/officeDocument/2006/relationships" name="历年真题" sheetId="3" r:id="R92c5bc009a434651"/>
    <x:sheet xmlns:r="http://schemas.openxmlformats.org/officeDocument/2006/relationships" name="机构覆盖" sheetId="4" r:id="R6cf8c0eb95e8408f"/>
    <x:sheet xmlns:r="http://schemas.openxmlformats.org/officeDocument/2006/relationships" name="字段说明" sheetId="5" r:id="Rd69ba4f3205046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8"/>
      <x:color rgb="FFFFFFFF"/>
      <x:name val="Carlito"/>
    </x:font>
    <x:font>
      <x:sz val="10"/>
      <x:color rgb="FF174C38"/>
      <x:name val="Carlito"/>
    </x:font>
    <x:font>
      <x:b/>
      <x:sz val="11"/>
      <x:color rgb="FF174C38"/>
      <x:name val="Carlito"/>
    </x:font>
    <x:font>
      <x:b/>
      <x:sz val="15"/>
      <x:color rgb="FF17211C"/>
      <x:name val="Carlito"/>
    </x:font>
    <x:font>
      <x:b/>
      <x:sz val="11"/>
      <x:color rgb="FF75501A"/>
      <x:name val="Carlito"/>
    </x:font>
    <x:font>
      <x:sz val="10"/>
      <x:color rgb="FF66716B"/>
      <x:name val="Carlito"/>
    </x:font>
    <x:font>
      <x:b/>
      <x:sz val="11"/>
      <x:color rgb="FFFFFFFF"/>
      <x:name val="Carlito"/>
    </x:font>
    <x:font>
      <x:sz val="10"/>
      <x:name val="Carlito"/>
    </x:font>
    <x:font>
      <x:i/>
      <x:sz val="9"/>
      <x:color rgb="FF66716B"/>
      <x:name val="Carlito"/>
    </x:font>
    <x:font>
      <x:b/>
      <x:sz val="10"/>
      <x:color rgb="FF17211C"/>
      <x:name val="Carlito"/>
    </x:font>
    <x:font>
      <x:sz val="9"/>
      <x:color rgb="FF17211C"/>
      <x:name val="Carlito"/>
    </x:font>
  </x:fonts>
  <x:fills count="7">
    <x:fill>
      <x:patternFill patternType="none"/>
    </x:fill>
    <x:fill>
      <x:patternFill patternType="gray125"/>
    </x:fill>
    <x:fill>
      <x:patternFill patternType="solid">
        <x:fgColor rgb="FF174C38"/>
      </x:patternFill>
    </x:fill>
    <x:fill>
      <x:patternFill patternType="solid">
        <x:fgColor rgb="FFE5EEE7"/>
      </x:patternFill>
    </x:fill>
    <x:fill>
      <x:patternFill patternType="solid">
        <x:fgColor rgb="FFF5EAD7"/>
      </x:patternFill>
    </x:fill>
    <x:fill>
      <x:patternFill patternType="solid">
        <x:fgColor rgb="FFF4F1E8"/>
      </x:patternFill>
    </x:fill>
    <x:fill>
      <x:patternFill patternType="solid">
        <x:fgColor rgb="FFDCE7E0"/>
      </x:patternFill>
    </x:fill>
  </x:fills>
  <x:borders count="10">
    <x:border/>
    <x:border>
      <x:left style="thin">
        <x:color rgb="FFD8DDD9"/>
      </x:left>
      <x:right style="thin">
        <x:color rgb="FFD8DDD9"/>
      </x:right>
      <x:top style="thin">
        <x:color rgb="FFD8DDD9"/>
      </x:top>
      <x:bottom style="thin">
        <x:color rgb="FFD8DDD9"/>
      </x:bottom>
    </x:border>
    <x:border>
      <x:left style="thin">
        <x:color rgb="FFD8DDD9"/>
      </x:left>
      <x:top style="thin">
        <x:color rgb="FFD8DDD9"/>
      </x:top>
    </x:border>
    <x:border>
      <x:top style="thin">
        <x:color rgb="FFD8DDD9"/>
      </x:top>
    </x:border>
    <x:border>
      <x:right style="thin">
        <x:color rgb="FFD8DDD9"/>
      </x:right>
      <x:top style="thin">
        <x:color rgb="FFD8DDD9"/>
      </x:top>
    </x:border>
    <x:border>
      <x:left style="thin">
        <x:color rgb="FFD8DDD9"/>
      </x:left>
    </x:border>
    <x:border>
      <x:right style="thin">
        <x:color rgb="FFD8DDD9"/>
      </x:right>
    </x:border>
    <x:border>
      <x:left style="thin">
        <x:color rgb="FFD8DDD9"/>
      </x:left>
      <x:bottom style="thin">
        <x:color rgb="FFD8DDD9"/>
      </x:bottom>
    </x:border>
    <x:border>
      <x:bottom style="thin">
        <x:color rgb="FFD8DDD9"/>
      </x:bottom>
    </x:border>
    <x:border>
      <x:right style="thin">
        <x:color rgb="FFD8DDD9"/>
      </x:right>
      <x:bottom style="thin">
        <x:color rgb="FFD8DDD9"/>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center"/>
    </x:xf>
    <x:xf numFmtId="0" fontId="0"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0" fillId="6" borderId="0" xfId="0" applyNumberFormat="1" applyFont="1" applyFill="1" applyBorder="1"/>
    <x:xf numFmtId="0" fontId="10" fillId="6" borderId="0" xfId="0" applyNumberFormat="1" applyFont="1" applyFill="1" applyBorder="1"/>
    <x:xf numFmtId="0" fontId="10" fillId="6" borderId="1" xfId="0" applyNumberFormat="1" applyFont="1" applyFill="1" applyBorder="1"/>
    <x:xf numFmtId="0" fontId="10" fillId="6" borderId="1" xfId="0" applyNumberFormat="1" applyFont="1" applyFill="1" applyBorder="1" applyAlignment="1">
      <x:alignment wrapText="1"/>
    </x:xf>
    <x:xf numFmtId="0" fontId="10" fillId="6" borderId="1" xfId="0" applyNumberFormat="1" applyFont="1" applyFill="1" applyBorder="1" applyAlignment="1">
      <x:alignment vertical="center" wrapText="1"/>
    </x:xf>
    <x:xf numFmtId="0" fontId="11" fillId="0" borderId="0" xfId="0" applyNumberFormat="1" applyFont="1" applyFill="1" applyBorder="1"/>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200" fontId="1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2eff670bde4b42" /><Relationship Type="http://schemas.openxmlformats.org/officeDocument/2006/relationships/theme" Target="/xl/theme/theme1.xml" Id="Rd8a04bb67b54418e" /><Relationship Type="http://schemas.openxmlformats.org/officeDocument/2006/relationships/sharedStrings" Target="/xl/sharedStrings.xml" Id="R1f1511326dca4d86" /><Relationship Type="http://schemas.openxmlformats.org/officeDocument/2006/relationships/worksheet" Target="/xl/worksheets/sheet1.xml" Id="Rc9d80782746f4fb1" /><Relationship Type="http://schemas.openxmlformats.org/officeDocument/2006/relationships/worksheet" Target="/xl/worksheets/sheet2.xml" Id="R5da05237df024002" /><Relationship Type="http://schemas.openxmlformats.org/officeDocument/2006/relationships/worksheet" Target="/xl/worksheets/sheet3.xml" Id="R92c5bc009a434651" /><Relationship Type="http://schemas.openxmlformats.org/officeDocument/2006/relationships/worksheet" Target="/xl/worksheets/sheet4.xml" Id="R6cf8c0eb95e8408f" /><Relationship Type="http://schemas.openxmlformats.org/officeDocument/2006/relationships/worksheet" Target="/xl/worksheets/sheet5.xml" Id="Rd69ba4f320504631" /></Relationships>
</file>

<file path=xl/tables/table1.xml><?xml version="1.0" encoding="utf-8"?>
<x:table xmlns:x="http://schemas.openxmlformats.org/spreadsheetml/2006/main" id="1" name="DailyQuestionsTable" displayName="DailyQuestionsTable" ref="A3:R32" headerRowCount="1" totalsRowCount="0" totalsRowShown="0">
  <x:tableColumns count="18">
    <x:tableColumn id="1" name="ID"/>
    <x:tableColumn id="2" name="日期"/>
    <x:tableColumn id="3" name="机构"/>
    <x:tableColumn id="4" name="老师"/>
    <x:tableColumn id="5" name="平台"/>
    <x:tableColumn id="6" name="科目"/>
    <x:tableColumn id="7" name="争点"/>
    <x:tableColumn id="8" name="标题"/>
    <x:tableColumn id="9" name="完整训练题面"/>
    <x:tableColumn id="10" name="作答任务"/>
    <x:tableColumn id="11" name="公布答案要旨"/>
    <x:tableColumn id="12" name="本库完整作答框架"/>
    <x:tableColumn id="13" name="易错点"/>
    <x:tableColumn id="14" name="答案状态"/>
    <x:tableColumn id="15" name="可信度"/>
    <x:tableColumn id="16" name="题目来源"/>
    <x:tableColumn id="17" name="答案来源"/>
    <x:tableColumn id="18" name="核验日"/>
  </x:tableColumns>
  <x:tableStyleInfo name="TableStyleMedium4" showFirstColumn="0" showLastColumn="0" showRowStripes="1" showColumnStripes="0"/>
</x:table>
</file>

<file path=xl/tables/table2.xml><?xml version="1.0" encoding="utf-8"?>
<x:table xmlns:x="http://schemas.openxmlformats.org/spreadsheetml/2006/main" id="2" name="HistoricalQuestionsTable" displayName="HistoricalQuestionsTable" ref="A3:K60" headerRowCount="1" totalsRowCount="0" totalsRowShown="0">
  <x:tableColumns count="11">
    <x:tableColumn id="1" name="年份"/>
    <x:tableColumn id="2" name="考试名称"/>
    <x:tableColumn id="3" name="题号"/>
    <x:tableColumn id="4" name="科目"/>
    <x:tableColumn id="5" name="争点"/>
    <x:tableColumn id="6" name="题面摘要"/>
    <x:tableColumn id="7" name="答案/作答主线"/>
    <x:tableColumn id="8" name="可信度"/>
    <x:tableColumn id="9" name="题目来源"/>
    <x:tableColumn id="10" name="答案来源"/>
    <x:tableColumn id="11" name="卷别说明"/>
  </x:tableColumns>
  <x:tableStyleInfo name="TableStyleMedium4" showFirstColumn="0" showLastColumn="0" showRowStripes="1" showColumnStripes="0"/>
</x:table>
</file>

<file path=xl/tables/table3.xml><?xml version="1.0" encoding="utf-8"?>
<x:table xmlns:x="http://schemas.openxmlformats.org/spreadsheetml/2006/main" id="3" name="CoverageTable" displayName="CoverageTable" ref="A3:F21" headerRowCount="1" totalsRowCount="0" totalsRowShown="0">
  <x:tableColumns count="6">
    <x:tableColumn id="1" name="机构"/>
    <x:tableColumn id="2" name="老师"/>
    <x:tableColumn id="3" name="系列"/>
    <x:tableColumn id="4" name="内容类型 / 状态"/>
    <x:tableColumn id="5" name="核验说明"/>
    <x:tableColumn id="6" name="公开依据"/>
  </x:tableColumns>
  <x:tableStyleInfo name="TableStyleMedium4" showFirstColumn="0" showLastColumn="0" showRowStripes="1" showColumnStripes="0"/>
</x:table>
</file>

<file path=xl/tables/table4.xml><?xml version="1.0" encoding="utf-8"?>
<x:table xmlns:x="http://schemas.openxmlformats.org/spreadsheetml/2006/main" id="4" name="FieldGuideTable" displayName="FieldGuideTable" ref="A3:D10" headerRowCount="1" totalsRowCount="0" totalsRowShown="0">
  <x:tableColumns count="4">
    <x:tableColumn id="1" name="字段"/>
    <x:tableColumn id="2" name="含义"/>
    <x:tableColumn id="3" name="填写规则"/>
    <x:tableColumn id="4" name="示例"/>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3f62e1000647f6" /></Relationships>
</file>

<file path=xl/worksheets/_rels/sheet3.xml.rels>&#65279;<?xml version="1.0" encoding="utf-8"?><Relationships xmlns="http://schemas.openxmlformats.org/package/2006/relationships"><Relationship Type="http://schemas.openxmlformats.org/officeDocument/2006/relationships/table" Target="/xl/tables/table2.xml" Id="Rf871ca684ece4e72" /></Relationships>
</file>

<file path=xl/worksheets/_rels/sheet4.xml.rels>&#65279;<?xml version="1.0" encoding="utf-8"?><Relationships xmlns="http://schemas.openxmlformats.org/package/2006/relationships"><Relationship Type="http://schemas.openxmlformats.org/officeDocument/2006/relationships/table" Target="/xl/tables/table3.xml" Id="R33106adf70864890" /></Relationships>
</file>

<file path=xl/worksheets/_rels/sheet5.xml.rels>&#65279;<?xml version="1.0" encoding="utf-8"?><Relationships xmlns="http://schemas.openxmlformats.org/package/2006/relationships"><Relationship Type="http://schemas.openxmlformats.org/officeDocument/2006/relationships/table" Target="/xl/tables/table4.xml" Id="R0f094fc611ce4146"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法考主观题资料库｜总览</x:v>
      </x:c>
      <x:c r="B1" s="3" t="str">
        <x:v>法考主观题资料库｜总览</x:v>
      </x:c>
      <x:c r="C1" s="3" t="str">
        <x:v>法考主观题资料库｜总览</x:v>
      </x:c>
      <x:c r="D1" s="3" t="str">
        <x:v>法考主观题资料库｜总览</x:v>
      </x:c>
      <x:c r="E1" s="3" t="str">
        <x:v>法考主观题资料库｜总览</x:v>
      </x:c>
      <x:c r="F1" s="3" t="str">
        <x:v>法考主观题资料库｜总览</x:v>
      </x:c>
      <x:c r="G1" s="3" t="str">
        <x:v>法考主观题资料库｜总览</x:v>
      </x:c>
      <x:c r="H1" s="3" t="str">
        <x:v>法考主观题资料库｜总览</x:v>
      </x:c>
    </x:row>
    <x:row r="2" ht="30" customHeight="1">
      <x:c r="A2" s="7" t="str">
        <x:v>核验截止 2026-08-31｜只收主观题；主客观一体材料仅保留可形成主观陈述的部分</x:v>
      </x:c>
      <x:c r="B2" s="7" t="str">
        <x:v>核验截止 2026-08-31｜只收主观题；主客观一体材料仅保留可形成主观陈述的部分</x:v>
      </x:c>
      <x:c r="C2" s="7" t="str">
        <x:v>核验截止 2026-08-31｜只收主观题；主客观一体材料仅保留可形成主观陈述的部分</x:v>
      </x:c>
      <x:c r="D2" s="7" t="str">
        <x:v>核验截止 2026-08-31｜只收主观题；主客观一体材料仅保留可形成主观陈述的部分</x:v>
      </x:c>
      <x:c r="E2" s="7" t="str">
        <x:v>核验截止 2026-08-31｜只收主观题；主客观一体材料仅保留可形成主观陈述的部分</x:v>
      </x:c>
      <x:c r="F2" s="7" t="str">
        <x:v>核验截止 2026-08-31｜只收主观题；主客观一体材料仅保留可形成主观陈述的部分</x:v>
      </x:c>
      <x:c r="G2" s="7" t="str">
        <x:v>核验截止 2026-08-31｜只收主观题；主客观一体材料仅保留可形成主观陈述的部分</x:v>
      </x:c>
      <x:c r="H2" s="7" t="str">
        <x:v>核验截止 2026-08-31｜只收主观题；主客观一体材料仅保留可形成主观陈述的部分</x:v>
      </x:c>
    </x:row>
    <x:row r="4" ht="27" customHeight="1">
      <x:c r="A4" s="11" t="str">
        <x:v>2026 日练条目</x:v>
      </x:c>
      <x:c r="B4" s="13" t="n">
        <x:f>COUNTA('2026每日一题'!A4:A200)</x:f>
        <x:v>29</x:v>
      </x:c>
      <x:c r="D4" s="15" t="str">
        <x:v>使用说明</x:v>
      </x:c>
      <x:c r="E4" s="15" t="str">
        <x:v>使用说明</x:v>
      </x:c>
      <x:c r="F4" s="15" t="str">
        <x:v>使用说明</x:v>
      </x:c>
      <x:c r="G4" s="15" t="str">
        <x:v>使用说明</x:v>
      </x:c>
      <x:c r="H4" s="15" t="str">
        <x:v>使用说明</x:v>
      </x:c>
    </x:row>
    <x:row r="5" ht="27" customHeight="1">
      <x:c r="A5" s="11" t="str">
        <x:v>历年分题索引</x:v>
      </x:c>
      <x:c r="B5" s="13" t="n">
        <x:f>COUNTA('历年真题'!A4:A300)</x:f>
        <x:v>57</x:v>
      </x:c>
      <x:c r="D5" s="34"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5" s="36"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6" ht="27" customHeight="1">
      <x:c r="A6" s="11" t="str">
        <x:v>结构化条目合计</x:v>
      </x:c>
      <x:c r="B6" s="13" t="n">
        <x:f>SUM(B4:B5)</x:f>
        <x:v>86</x:v>
      </x:c>
      <x:c r="D6" s="37"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6" s="39"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7" ht="27" customHeight="1">
      <x:c r="A7" s="11" t="str">
        <x:v>追踪机构/系列</x:v>
      </x:c>
      <x:c r="B7" s="13" t="n">
        <x:f>COUNTA('机构覆盖'!A4:A100)</x:f>
        <x:v>18</x:v>
      </x:c>
      <x:c r="D7" s="40"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7" s="42"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8" ht="27" customHeight="1"/>
    <x:row r="9" ht="27" customHeight="1"/>
    <x:row r="10" ht="27" customHeight="1">
      <x:c r="A10" s="44" t="str">
        <x:v>资料层</x:v>
      </x:c>
      <x:c r="B10" s="44" t="str">
        <x:v>时间/范围</x:v>
      </x:c>
      <x:c r="C10" s="44" t="str">
        <x:v>题面性质</x:v>
      </x:c>
      <x:c r="D10" s="44" t="str">
        <x:v>建议用法</x:v>
      </x:c>
    </x:row>
    <x:row r="11" ht="27" customHeight="1">
      <x:c r="A11" s="48" t="str">
        <x:v>2026 每日一题</x:v>
      </x:c>
      <x:c r="B11" s="48" t="str">
        <x:v>2026-01-01 至 2026-08-31</x:v>
      </x:c>
      <x:c r="C11" s="48" t="str">
        <x:v>教师/机构公开主观训练</x:v>
      </x:c>
      <x:c r="D11" s="48" t="str">
        <x:v>按科目与争点筛选，先答后看框架</x:v>
      </x:c>
    </x:row>
    <x:row r="12" ht="27" customHeight="1">
      <x:c r="A12" s="48" t="str">
        <x:v>2016—2017</x:v>
      </x:c>
      <x:c r="B12" s="48" t="str">
        <x:v>国家司法考试试卷四</x:v>
      </x:c>
      <x:c r="C12" s="48" t="str">
        <x:v>官方公开</x:v>
      </x:c>
      <x:c r="D12" s="48" t="str">
        <x:v>摘要导航后回原页核对完整题面</x:v>
      </x:c>
    </x:row>
    <x:row r="13" ht="27" customHeight="1">
      <x:c r="A13" s="48" t="str">
        <x:v>2018—2025</x:v>
      </x:c>
      <x:c r="B13" s="48" t="str">
        <x:v>国家统一法律职业资格考试</x:v>
      </x:c>
      <x:c r="C13" s="48" t="str">
        <x:v>公开回忆版</x:v>
      </x:c>
      <x:c r="D13" s="48" t="str">
        <x:v>对卷别和争点保留条件式表述</x:v>
      </x:c>
    </x:row>
    <x:row r="14" ht="27" customHeight="1"/>
    <x:row r="15" ht="27" customHeight="1">
      <x:c r="A15" s="51" t="str">
        <x:v>来源原则：官方优先；公开账号逐题核验；回忆版明确标记；受限平台不绕过登录或付费。</x:v>
      </x:c>
      <x:c r="B15" s="51" t="str">
        <x:v>来源原则：官方优先；公开账号逐题核验；回忆版明确标记；受限平台不绕过登录或付费。</x:v>
      </x:c>
      <x:c r="C15" s="51" t="str">
        <x:v>来源原则：官方优先；公开账号逐题核验；回忆版明确标记；受限平台不绕过登录或付费。</x:v>
      </x:c>
      <x:c r="D15" s="51" t="str">
        <x:v>来源原则：官方优先；公开账号逐题核验；回忆版明确标记；受限平台不绕过登录或付费。</x:v>
      </x:c>
      <x:c r="E15" s="51" t="str">
        <x:v>来源原则：官方优先；公开账号逐题核验；回忆版明确标记；受限平台不绕过登录或付费。</x:v>
      </x:c>
      <x:c r="F15" s="51" t="str">
        <x:v>来源原则：官方优先；公开账号逐题核验；回忆版明确标记；受限平台不绕过登录或付费。</x:v>
      </x:c>
      <x:c r="G15" s="51" t="str">
        <x:v>来源原则：官方优先；公开账号逐题核验；回忆版明确标记；受限平台不绕过登录或付费。</x:v>
      </x:c>
      <x:c r="H15" s="51" t="str">
        <x:v>来源原则：官方优先；公开账号逐题核验；回忆版明确标记；受限平台不绕过登录或付费。</x:v>
      </x:c>
    </x:row>
  </x:sheetData>
  <x:mergeCells>
    <x:mergeCell ref="A1:H1"/>
    <x:mergeCell ref="A2:H2"/>
    <x:mergeCell ref="D4:H4"/>
    <x:mergeCell ref="D5:H7"/>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3" hidden="0" customWidth="1"/>
    <x:col min="4" max="4" width="10" hidden="0" customWidth="1"/>
    <x:col min="5" max="5" width="18" hidden="0" customWidth="1"/>
    <x:col min="6" max="6" width="11" hidden="0" customWidth="1"/>
    <x:col min="7" max="7" width="24" hidden="0" customWidth="1"/>
    <x:col min="8" max="8" width="30" hidden="0" customWidth="1"/>
    <x:col min="9" max="9" width="72" hidden="0" customWidth="1"/>
    <x:col min="10" max="10" width="42" hidden="0" customWidth="1"/>
    <x:col min="11" max="11" width="52" hidden="0" customWidth="1"/>
    <x:col min="12" max="12" width="56" hidden="0" customWidth="1"/>
    <x:col min="13" max="13" width="30" hidden="0" customWidth="1"/>
    <x:col min="14" max="14" width="18" hidden="0" customWidth="1"/>
    <x:col min="15" max="15" width="22" hidden="0" customWidth="1"/>
    <x:col min="16" max="16" width="38" hidden="0" customWidth="1"/>
    <x:col min="17" max="17" width="38" hidden="0" customWidth="1"/>
    <x:col min="18" max="18" width="12" hidden="0" customWidth="1"/>
  </x:cols>
  <x:sheetData>
    <x:row r="1" ht="34" customHeight="1">
      <x:c r="A1" s="3" t="str">
        <x:v>2026 主观题每日一题｜完整题答核验库</x:v>
      </x:c>
      <x:c r="B1" s="3" t="str">
        <x:v>2026 主观题每日一题｜完整题答核验库</x:v>
      </x:c>
      <x:c r="C1" s="3" t="str">
        <x:v>2026 主观题每日一题｜完整题答核验库</x:v>
      </x:c>
      <x:c r="D1" s="3" t="str">
        <x:v>2026 主观题每日一题｜完整题答核验库</x:v>
      </x:c>
      <x:c r="E1" s="3" t="str">
        <x:v>2026 主观题每日一题｜完整题答核验库</x:v>
      </x:c>
      <x:c r="F1" s="3" t="str">
        <x:v>2026 主观题每日一题｜完整题答核验库</x:v>
      </x:c>
      <x:c r="G1" s="3" t="str">
        <x:v>2026 主观题每日一题｜完整题答核验库</x:v>
      </x:c>
      <x:c r="H1" s="3" t="str">
        <x:v>2026 主观题每日一题｜完整题答核验库</x:v>
      </x:c>
      <x:c r="I1" s="3" t="str">
        <x:v>2026 主观题每日一题｜完整题答核验库</x:v>
      </x:c>
      <x:c r="J1" s="3" t="str">
        <x:v>2026 主观题每日一题｜完整题答核验库</x:v>
      </x:c>
      <x:c r="K1" s="3" t="str">
        <x:v>2026 主观题每日一题｜完整题答核验库</x:v>
      </x:c>
      <x:c r="L1" s="3" t="str">
        <x:v>2026 主观题每日一题｜完整题答核验库</x:v>
      </x:c>
      <x:c r="M1" s="3" t="str">
        <x:v>2026 主观题每日一题｜完整题答核验库</x:v>
      </x:c>
      <x:c r="N1" s="3" t="str">
        <x:v>2026 主观题每日一题｜完整题答核验库</x:v>
      </x:c>
      <x:c r="O1" s="3" t="str">
        <x:v>2026 主观题每日一题｜完整题答核验库</x:v>
      </x:c>
      <x:c r="P1" s="3" t="str">
        <x:v>2026 主观题每日一题｜完整题答核验库</x:v>
      </x:c>
      <x:c r="Q1" s="3" t="str">
        <x:v>2026 主观题每日一题｜完整题答核验库</x:v>
      </x:c>
      <x:c r="R1" s="3" t="str">
        <x:v>2026 主观题每日一题｜完整题答核验库</x:v>
      </x:c>
    </x:row>
    <x:row r="2" ht="30" customHeight="1">
      <x:c r="A2" s="7" t="str">
        <x:v>完整训练题面、作答任务、公布答案要旨与本库完整作答分列；纯客观题不入库</x:v>
      </x:c>
      <x:c r="B2" s="7" t="str">
        <x:v>完整训练题面、作答任务、公布答案要旨与本库完整作答分列；纯客观题不入库</x:v>
      </x:c>
      <x:c r="C2" s="7" t="str">
        <x:v>完整训练题面、作答任务、公布答案要旨与本库完整作答分列；纯客观题不入库</x:v>
      </x:c>
      <x:c r="D2" s="7" t="str">
        <x:v>完整训练题面、作答任务、公布答案要旨与本库完整作答分列；纯客观题不入库</x:v>
      </x:c>
      <x:c r="E2" s="7" t="str">
        <x:v>完整训练题面、作答任务、公布答案要旨与本库完整作答分列；纯客观题不入库</x:v>
      </x:c>
      <x:c r="F2" s="7" t="str">
        <x:v>完整训练题面、作答任务、公布答案要旨与本库完整作答分列；纯客观题不入库</x:v>
      </x:c>
      <x:c r="G2" s="7" t="str">
        <x:v>完整训练题面、作答任务、公布答案要旨与本库完整作答分列；纯客观题不入库</x:v>
      </x:c>
      <x:c r="H2" s="7" t="str">
        <x:v>完整训练题面、作答任务、公布答案要旨与本库完整作答分列；纯客观题不入库</x:v>
      </x:c>
      <x:c r="I2" s="7" t="str">
        <x:v>完整训练题面、作答任务、公布答案要旨与本库完整作答分列；纯客观题不入库</x:v>
      </x:c>
      <x:c r="J2" s="7" t="str">
        <x:v>完整训练题面、作答任务、公布答案要旨与本库完整作答分列；纯客观题不入库</x:v>
      </x:c>
      <x:c r="K2" s="7" t="str">
        <x:v>完整训练题面、作答任务、公布答案要旨与本库完整作答分列；纯客观题不入库</x:v>
      </x:c>
      <x:c r="L2" s="7" t="str">
        <x:v>完整训练题面、作答任务、公布答案要旨与本库完整作答分列；纯客观题不入库</x:v>
      </x:c>
      <x:c r="M2" s="7" t="str">
        <x:v>完整训练题面、作答任务、公布答案要旨与本库完整作答分列；纯客观题不入库</x:v>
      </x:c>
      <x:c r="N2" s="7" t="str">
        <x:v>完整训练题面、作答任务、公布答案要旨与本库完整作答分列；纯客观题不入库</x:v>
      </x:c>
      <x:c r="O2" s="7" t="str">
        <x:v>完整训练题面、作答任务、公布答案要旨与本库完整作答分列；纯客观题不入库</x:v>
      </x:c>
      <x:c r="P2" s="7" t="str">
        <x:v>完整训练题面、作答任务、公布答案要旨与本库完整作答分列；纯客观题不入库</x:v>
      </x:c>
      <x:c r="Q2" s="7" t="str">
        <x:v>完整训练题面、作答任务、公布答案要旨与本库完整作答分列；纯客观题不入库</x:v>
      </x:c>
      <x:c r="R2" s="7" t="str">
        <x:v>完整训练题面、作答任务、公布答案要旨与本库完整作答分列；纯客观题不入库</x:v>
      </x:c>
    </x:row>
    <x:row r="3" ht="28" customHeight="1">
      <x:c r="A3" s="56" t="str">
        <x:v>ID</x:v>
      </x:c>
      <x:c r="B3" s="56" t="str">
        <x:v>日期</x:v>
      </x:c>
      <x:c r="C3" s="56" t="str">
        <x:v>机构</x:v>
      </x:c>
      <x:c r="D3" s="56" t="str">
        <x:v>老师</x:v>
      </x:c>
      <x:c r="E3" s="56" t="str">
        <x:v>平台</x:v>
      </x:c>
      <x:c r="F3" s="56" t="str">
        <x:v>科目</x:v>
      </x:c>
      <x:c r="G3" s="56" t="str">
        <x:v>争点</x:v>
      </x:c>
      <x:c r="H3" s="56" t="str">
        <x:v>标题</x:v>
      </x:c>
      <x:c r="I3" s="56" t="str">
        <x:v>完整训练题面</x:v>
      </x:c>
      <x:c r="J3" s="56" t="str">
        <x:v>作答任务</x:v>
      </x:c>
      <x:c r="K3" s="56" t="str">
        <x:v>公布答案要旨</x:v>
      </x:c>
      <x:c r="L3" s="56" t="str">
        <x:v>本库完整作答框架</x:v>
      </x:c>
      <x:c r="M3" s="56" t="str">
        <x:v>易错点</x:v>
      </x:c>
      <x:c r="N3" s="56" t="str">
        <x:v>答案状态</x:v>
      </x:c>
      <x:c r="O3" s="56" t="str">
        <x:v>可信度</x:v>
      </x:c>
      <x:c r="P3" s="56" t="str">
        <x:v>题目来源</x:v>
      </x:c>
      <x:c r="Q3" s="56" t="str">
        <x:v>答案来源</x:v>
      </x:c>
      <x:c r="R3" s="56" t="str">
        <x:v>核验日</x:v>
      </x:c>
    </x:row>
    <x:row r="4" ht="130" customHeight="1">
      <x:c r="A4" s="60" t="str">
        <x:v>2026-lijia-01</x:v>
      </x:c>
      <x:c r="B4" s="61" t="n">
        <x:v>46252</x:v>
      </x:c>
      <x:c r="C4" s="60" t="str">
        <x:v>方圆众合</x:v>
      </x:c>
      <x:c r="D4" s="60" t="str">
        <x:v>李佳</x:v>
      </x:c>
      <x:c r="E4" s="60" t="str">
        <x:v>微博公开页（新浪镜像）</x:v>
      </x:c>
      <x:c r="F4" s="60" t="str">
        <x:v>行政法</x:v>
      </x:c>
      <x:c r="G4" s="60" t="str">
        <x:v>政府信息公开、复议前置</x:v>
      </x:c>
      <x:c r="H4" s="60" t="str">
        <x:v>第 1 题｜过程性信息不公开后的救济路径</x:v>
      </x:c>
      <x:c r="I4" s="60" t="str">
        <x:v>2023 年 11 月 24 日，李某通过甲省某市政府官网申请公开一份城市总体规划修编文件。12 月 20 日，市政府作出政府信息公开答复，以该修编文件属于过程性信息为由决定不予公开。李某认为市政府未公开其申请的文件，向省政府申请行政复议；省政府作出维持决定。李某随后向法院提起行政诉讼。
请回答：
1. 李某对该信息公开答复申请复议，是否属于行政复议受案范围？
2. 如果李某不经复议而直接起诉该答复，法院应当如何处理？
3. 复议维持后进入行政诉讼，对“不予公开具有合法性”这一事项应当由谁承担举证责任？</x:v>
      </x:c>
      <x:c r="J4" s="60" t="str">
        <x:v>1. 该政府信息公开答复是否属于行政复议受案范围？
2. 过程性信息不予公开是否属于复议前置，直接起诉时法院如何处理？
3. 复议维持案件中原机关与复议机关如何承担举证责任？</x:v>
      </x:c>
      <x:c r="K4" s="60" t="str">
        <x:v>公开答案的核心是：信息公开答复通常可以申请行政复议；若争议属于法律规定的复议前置事项，应先复议，不能直接起诉。</x:v>
      </x:c>
      <x:c r="L4" s="60" t="str">
        <x:v>1. 先识别被诉行为：针对信息公开申请作出的不予公开答复。
2. 再审查信息属性与不公开理由是否有规范依据，不能只以材料处在办理过程中作形式判断。
3. 最后判断救济路径；属于复议前置范围时，起诉前必须先申请复议。</x:v>
      </x:c>
      <x:c r="M4" s="60" t="str">
        <x:v>把“可以复议”和“必须先复议”混为一谈。</x:v>
      </x:c>
      <x:c r="N4" s="60" t="str">
        <x:v>已核验</x:v>
      </x:c>
      <x:c r="O4" s="60" t="str">
        <x:v>公开账号·已核验</x:v>
      </x:c>
      <x:c r="P4" s="60" t="str">
        <x:v>https://www.sina.cn/news/detail/5333173874723677.html</x:v>
      </x:c>
      <x:c r="Q4" s="60" t="str">
        <x:v>https://www.sina.cn/news/detail/5333339969424449.html</x:v>
      </x:c>
      <x:c r="R4" s="60" t="str">
        <x:v>2026-08-31</x:v>
      </x:c>
    </x:row>
    <x:row r="5" ht="130" customHeight="1">
      <x:c r="A5" s="60" t="str">
        <x:v>2026-lijia-02</x:v>
      </x:c>
      <x:c r="B5" s="61" t="n">
        <x:v>46253</x:v>
      </x:c>
      <x:c r="C5" s="60" t="str">
        <x:v>方圆众合</x:v>
      </x:c>
      <x:c r="D5" s="60" t="str">
        <x:v>李佳</x:v>
      </x:c>
      <x:c r="E5" s="60" t="str">
        <x:v>微博公开页（新浪镜像）</x:v>
      </x:c>
      <x:c r="F5" s="60" t="str">
        <x:v>行政法</x:v>
      </x:c>
      <x:c r="G5" s="60" t="str">
        <x:v>行政委托、被告资格</x:v>
      </x:c>
      <x:c r="H5" s="60" t="str">
        <x:v>第 2 题｜“授权”行业协会实施检查，谁当被告</x:v>
      </x:c>
      <x:c r="I5" s="60" t="str">
        <x:v>某市市场监管局为推行餐饮行业标准化管理，制定内部执法守则，并在守则中写明由其管理的市食品协会对餐饮企业厨余垃圾处置不当行为行使行政处罚权。食品协会发现奥康公司一家门店的厨余垃圾容器未加盖且发生溢出污染，遂依据该守则，以自己名义作出责令停业整顿 7 日的处罚。奥康公司不服并提起行政诉讼。
请回答：本案应当以市食品协会还是市市场监管局为被告？说明规范依据与理由。</x:v>
      </x:c>
      <x:c r="J5" s="60" t="str">
        <x:v>1. 市场监管局制定的守则能否把行政处罚权授予行业协会？
2. 该安排应认定为法律法规授权还是行政委托？
3. 奥康公司提起行政诉讼时应以谁为被告？</x:v>
      </x:c>
      <x:c r="K5" s="60" t="str">
        <x:v>协会没有法律、法规或规章授权时，所谓“授权”按行政委托处理，法律责任由委托机关承担，被告是市场监管局。</x:v>
      </x:c>
      <x:c r="L5" s="60" t="str">
        <x:v>1. 授权来源必须是法律、法规或规章，行政机关自己的文件不能创设行政授权。
2. 无规范授权时，协会属于受委托组织，以委托机关名义实施行为。
3. 诉讼中由委托的市场监管局作为被告。</x:v>
      </x:c>
      <x:c r="M5" s="60" t="str">
        <x:v>仅凭文件使用“授权”二字就把协会列为被告。</x:v>
      </x:c>
      <x:c r="N5" s="60" t="str">
        <x:v>已核验</x:v>
      </x:c>
      <x:c r="O5" s="60" t="str">
        <x:v>公开账号·已核验</x:v>
      </x:c>
      <x:c r="P5" s="60" t="str">
        <x:v>https://www.sina.cn/news/detail/5333536262327506.html</x:v>
      </x:c>
      <x:c r="Q5" s="60" t="str">
        <x:v>https://www.sina.cn/news/detail/5333702357290950.html</x:v>
      </x:c>
      <x:c r="R5" s="60" t="str">
        <x:v>2026-08-31</x:v>
      </x:c>
    </x:row>
    <x:row r="6" ht="130" customHeight="1">
      <x:c r="A6" s="60" t="str">
        <x:v>2026-lijia-03</x:v>
      </x:c>
      <x:c r="B6" s="61" t="n">
        <x:v>46254</x:v>
      </x:c>
      <x:c r="C6" s="60" t="str">
        <x:v>方圆众合</x:v>
      </x:c>
      <x:c r="D6" s="60" t="str">
        <x:v>李佳</x:v>
      </x:c>
      <x:c r="E6" s="60" t="str">
        <x:v>微博公开页（新浪镜像）</x:v>
      </x:c>
      <x:c r="F6" s="60" t="str">
        <x:v>行政法</x:v>
      </x:c>
      <x:c r="G6" s="60" t="str">
        <x:v>土地使用权收回、行为定性</x:v>
      </x:c>
      <x:c r="H6" s="60" t="str">
        <x:v>第 3 题｜收回国有土地使用权的行为性质</x:v>
      </x:c>
      <x:c r="I6" s="60" t="str">
        <x:v>请分别判断下列两个相互独立的行政行为性质，并说明理由：
1. 因公共利益需要，某市政府依照法定程序提前收回已经出让给甲公司的土地使用权。
2. 甲公司未按国有土地出让合同约定的期限和条件开发利用土地，市自然资源主管部门据此无偿收回已经出让的国有土地使用权。</x:v>
      </x:c>
      <x:c r="J6" s="60" t="str">
        <x:v>1. 因公共利益提前收回土地使用权应如何定性？
2. 因用地人违反开发义务而无偿收回应如何定性？
3. 两项行为在目的、惩戒性和补偿规则上有何区别？</x:v>
      </x:c>
      <x:c r="K6" s="60" t="str">
        <x:v>因公共利益依法收回，核心是行政征收并涉及补偿；因违反开发义务收回，应结合规范目的和是否具有惩戒性判断，不宜机械统一归类。</x:v>
      </x:c>
      <x:c r="L6" s="60" t="str">
        <x:v>1. 先找收回依据和直接目的。
2. 公共利益收回属于对既有财产权的征收，应依法补偿。
3. 闲置或未开发收回要审查是否以违法为前提、是否具有制裁性，并据此判断处罚或其他行政处理。</x:v>
      </x:c>
      <x:c r="M6" s="60" t="str">
        <x:v>只看结果都是“收回”，忽略行为目的与法律依据。</x:v>
      </x:c>
      <x:c r="N6" s="60" t="str">
        <x:v>已核验</x:v>
      </x:c>
      <x:c r="O6" s="60" t="str">
        <x:v>公开账号·已核验</x:v>
      </x:c>
      <x:c r="P6" s="60" t="str">
        <x:v>https://www.sina.cn/news/detail/5333898650190437.html</x:v>
      </x:c>
      <x:c r="Q6" s="60" t="str">
        <x:v>https://www.sina.cn/news/detail/5334064744895160.html</x:v>
      </x:c>
      <x:c r="R6" s="60" t="str">
        <x:v>2026-08-31</x:v>
      </x:c>
    </x:row>
    <x:row r="7" ht="130" customHeight="1">
      <x:c r="A7" s="60" t="str">
        <x:v>2026-lijia-04</x:v>
      </x:c>
      <x:c r="B7" s="61" t="n">
        <x:v>46255</x:v>
      </x:c>
      <x:c r="C7" s="60" t="str">
        <x:v>方圆众合</x:v>
      </x:c>
      <x:c r="D7" s="60" t="str">
        <x:v>李佳</x:v>
      </x:c>
      <x:c r="E7" s="60" t="str">
        <x:v>微博公开页（新浪镜像）</x:v>
      </x:c>
      <x:c r="F7" s="60" t="str">
        <x:v>行政法</x:v>
      </x:c>
      <x:c r="G7" s="60" t="str">
        <x:v>行政强制措施、被告、管辖</x:v>
      </x:c>
      <x:c r="H7" s="60" t="str">
        <x:v>第 4 题｜依据内部指令扣押冰柜的被告与管辖</x:v>
      </x:c>
      <x:c r="I7" s="60" t="str">
        <x:v>某市城市管理局执法人员认定陈莉擅自占用道路经营冷饮并影响市容，以该局内设的“综合整治指挥部”名义扣押陈莉经营使用的冰柜等物品，扣押决定加盖指挥部印章。陈莉不服并提起行政诉讼。
请回答：
1. 本案被告应如何确定？
2. 本案一审应由基层法院还是中级法院管辖？</x:v>
      </x:c>
      <x:c r="J7" s="60" t="str">
        <x:v>1. 内设机构以自己名义作出扣押决定时谁是适格被告？
2. 内设机构是否具有独立承担行政责任的能力？
3. 本案一审级别管辖应如何确定？</x:v>
      </x:c>
      <x:c r="K7" s="60" t="str">
        <x:v>对外作出扣押并署名的城管机关承担责任；内部指令通常不直接改变被告。地域管辖围绕作出强制措施机关所在地及不动产专属管辖是否适用判断。</x:v>
      </x:c>
      <x:c r="L7" s="60" t="str">
        <x:v>1. 锁定对外实施扣押的行政机关，内部请示或指令不是当然的外部行政行为。
2. 扣押属于行政强制措施，应审查权限、批准、清单、保管和期限。
3. 按行政诉讼一般地域管辖判断；冰柜是动产，不适用不动产案件专属管辖。</x:v>
      </x:c>
      <x:c r="M7" s="60" t="str">
        <x:v>把作出内部指令的上级机关直接列为被告。</x:v>
      </x:c>
      <x:c r="N7" s="60" t="str">
        <x:v>已核验</x:v>
      </x:c>
      <x:c r="O7" s="60" t="str">
        <x:v>公开账号·已核验</x:v>
      </x:c>
      <x:c r="P7" s="60" t="str">
        <x:v>https://www.sina.cn/news/detail/5334261038321871.html</x:v>
      </x:c>
      <x:c r="Q7" s="60" t="str">
        <x:v>https://www.sina.cn/news/detail/5334427133019801.html</x:v>
      </x:c>
      <x:c r="R7" s="60" t="str">
        <x:v>2026-08-31</x:v>
      </x:c>
    </x:row>
    <x:row r="8" ht="130" customHeight="1">
      <x:c r="A8" s="60" t="str">
        <x:v>2026-lijia-05</x:v>
      </x:c>
      <x:c r="B8" s="61" t="n">
        <x:v>46256</x:v>
      </x:c>
      <x:c r="C8" s="60" t="str">
        <x:v>方圆众合</x:v>
      </x:c>
      <x:c r="D8" s="60" t="str">
        <x:v>李佳</x:v>
      </x:c>
      <x:c r="E8" s="60" t="str">
        <x:v>微博公开页（新浪镜像）</x:v>
      </x:c>
      <x:c r="F8" s="60" t="str">
        <x:v>行政法</x:v>
      </x:c>
      <x:c r="G8" s="60" t="str">
        <x:v>政府信息公开、机构名义</x:v>
      </x:c>
      <x:c r="H8" s="60" t="str">
        <x:v>第 5 题｜区政府信息公开办公室能否独立当被告</x:v>
      </x:c>
      <x:c r="I8" s="60" t="str">
        <x:v>2025 年 6 月 16 日，王某邮寄申请区政府公开某棚户区改造项目的地上物现状调查册，区政府次日收到申请。6 月 30 日，区政府指定的政务公开办公室以自己名义作出答复，告知申请信息不存在，并加盖该办公室印章。王某不服，提起行政诉讼，请求判令公开该调查册；庭审中又提出要求公开土地价格评估报告。
请回答：
1. 针对已经作出的答复，谁是本案被告？
2. 若收到申请后逾期未答复，谁是被告？
3. “信息不存在”答复是否必须先复议再起诉？
4. 王某在庭审中新增公开另一份材料的请求，法院应如何处理？</x:v>
      </x:c>
      <x:c r="J8" s="60" t="str">
        <x:v>1. 指定的信息公开工作机构以自己名义答复时谁是被告？
2. 逾期不答复时谁是被告？
3. 信息不存在答复是否属于复议前置范围？
4. 庭审中新增诉讼请求，法院是否准许？</x:v>
      </x:c>
      <x:c r="K8" s="60" t="str">
        <x:v>已经答复的，以自己名义作出答复的政务公开办公室为被告；逾期不答复的，以收到申请的区政府为被告。“信息不存在”不属于法定的四类信息公开复议前置事项，可直接起诉。庭审中无正当理由新增另一项公开请求，法院不予准许。</x:v>
      </x:c>
      <x:c r="L8" s="60" t="str">
        <x:v>1. 政府信息公开司法解释对指定工作机构设置特别被告规则：该机构以自己名义作出答复时，可独立作为被告。
2. 行政机关逾期未答复的，以收到申请的行政机关即区政府为被告。
3. 复议前置限于国家秘密及安全稳定、商业秘密和个人隐私、内部事务、过程性信息及行政执法案卷等不予公开决定；信息不存在不在其中。
4. 起诉状副本送达被告后，原告新增诉讼请求原则上不予准许，但有正当理由的除外。</x:v>
      </x:c>
      <x:c r="M8" s="60" t="str">
        <x:v>只看落款，不判断组织法地位。</x:v>
      </x:c>
      <x:c r="N8" s="60" t="str">
        <x:v>已核验</x:v>
      </x:c>
      <x:c r="O8" s="60" t="str">
        <x:v>公开账号·已核验</x:v>
      </x:c>
      <x:c r="P8" s="60" t="str">
        <x:v>https://www.sina.cn/news/detail/5334623426445879.html</x:v>
      </x:c>
      <x:c r="Q8" s="60" t="str">
        <x:v>https://www.sina.cn/news/detail/5334789520885344.html</x:v>
      </x:c>
      <x:c r="R8" s="60" t="str">
        <x:v>2026-08-31</x:v>
      </x:c>
    </x:row>
    <x:row r="9" ht="130" customHeight="1">
      <x:c r="A9" s="60" t="str">
        <x:v>2026-lijia-06</x:v>
      </x:c>
      <x:c r="B9" s="61" t="n">
        <x:v>46257</x:v>
      </x:c>
      <x:c r="C9" s="60" t="str">
        <x:v>方圆众合</x:v>
      </x:c>
      <x:c r="D9" s="60" t="str">
        <x:v>李佳</x:v>
      </x:c>
      <x:c r="E9" s="60" t="str">
        <x:v>微博公开页（新浪镜像）</x:v>
      </x:c>
      <x:c r="F9" s="60" t="str">
        <x:v>行政法</x:v>
      </x:c>
      <x:c r="G9" s="60" t="str">
        <x:v>未成年人、行政处罚、强制措施</x:v>
      </x:c>
      <x:c r="H9" s="60" t="str">
        <x:v>第 6 题｜17 岁观众冲入演出区域的行政处理</x:v>
      </x:c>
      <x:c r="I9" s="60" t="str">
        <x:v>2025 年 4 月，17 岁的任某在甲市乙县体育馆举行的大型商业演唱会中强行翻越内场护栏并冲上舞台，造成演出中断约十分钟、现场秩序严重混乱。乙县公安局民警先将任某强行带离，调查后又作出处理决定：行政拘留 10 日并处罚款 500 元，同时要求任某未来 12 个月不得进入任何体育场馆观看同类商业演出。任某不服并起诉。
请回答：
1. 强行带离现场的行为是什么性质？
2. 12 个月禁入体育场馆的行为是什么性质？
3. 上述两项行为是否可诉？
4. 行政拘留与禁入措施并用是否违反一事不再罚？
5. 公安机关作出该处理决定应适用何种行政处罚程序？</x:v>
      </x:c>
      <x:c r="J9" s="60" t="str">
        <x:v>1. 强行带离与后续处罚应如何分别定性？
2. 长期禁入体育场馆是否属于独立行政处罚或其他行政行为？
3. 两项行为是否具有可诉性？
4. 拘留与禁入并用是否违反一事不再罚？
5. 对未成年人作出处罚应适用何种程序并保障哪些权利？</x:v>
      </x:c>
      <x:c r="K9" s="60" t="str">
        <x:v>现场控制措施与后续处罚须分开评价。17 周岁属于可承担行政处罚责任的年龄段，但依法应从轻或减轻，并保障监护人通知等程序。</x:v>
      </x:c>
      <x:c r="L9" s="60" t="str">
        <x:v>1. 先区分即时制止、传唤等强制措施和最终行政处罚。
2. 年龄影响责任与裁量：已满十四周岁不满十八周岁，应依法从轻或减轻处罚。
3. 审查身份告知、听取陈述申辩、监护人通知及记录等程序。</x:v>
      </x:c>
      <x:c r="M9" s="60" t="str">
        <x:v>认为未满十八周岁一律不处罚。</x:v>
      </x:c>
      <x:c r="N9" s="60" t="str">
        <x:v>已核验</x:v>
      </x:c>
      <x:c r="O9" s="60" t="str">
        <x:v>公开账号·已核验</x:v>
      </x:c>
      <x:c r="P9" s="60" t="str">
        <x:v>https://www.sina.cn/news/detail/5334985813788282.html</x:v>
      </x:c>
      <x:c r="Q9" s="60" t="str">
        <x:v>https://www.sina.cn/news/detail/5335151909013478.html</x:v>
      </x:c>
      <x:c r="R9" s="60" t="str">
        <x:v>2026-08-31</x:v>
      </x:c>
    </x:row>
    <x:row r="10" ht="130" customHeight="1">
      <x:c r="A10" s="60" t="str">
        <x:v>2026-lijia-07</x:v>
      </x:c>
      <x:c r="B10" s="61" t="n">
        <x:v>46258</x:v>
      </x:c>
      <x:c r="C10" s="60" t="str">
        <x:v>方圆众合</x:v>
      </x:c>
      <x:c r="D10" s="60" t="str">
        <x:v>李佳</x:v>
      </x:c>
      <x:c r="E10" s="60" t="str">
        <x:v>微博公开页（新浪镜像）</x:v>
      </x:c>
      <x:c r="F10" s="60" t="str">
        <x:v>行政法</x:v>
      </x:c>
      <x:c r="G10" s="60" t="str">
        <x:v>经批准行为、被告资格</x:v>
      </x:c>
      <x:c r="H10" s="60" t="str">
        <x:v>第 7 题｜下级报批、上级批准后由谁作被告</x:v>
      </x:c>
      <x:c r="I10" s="60" t="str">
        <x:v>甲市乙县奥康商业银行因违规关联交易、资本充足率严重不足而违反审慎经营规则。国家金融监督管理总局甲市监管分局调查后，经上级批准，以监管分局名义作出处理决定，要求银行暂停部分高风险资产业务并限制分配红利；银行在后续救济中还涉及以过程性信息为由不予公开的政府信息答复。
请回答：
1. 处理决定经上级批准但以监管分局名义对外作出，应以谁为行政诉讼被告？
2. 暂停高风险资产业务、限制分配红利属于行政处罚还是行政强制措施？
3. 银行对该处理决定不服，是否属于行政诉讼受案范围？
4. 对以过程性信息为由不予公开的答复，能否不经复议直接起诉？</x:v>
      </x:c>
      <x:c r="J10" s="60" t="str">
        <x:v>1. 经上级批准的行政行为如何依据对外文书署名确定被告？
2. 审慎监管措施应认定为行政处罚还是行政强制措施？
3. 该处理决定是否可诉？
4. 过程性信息不予公开是否适用复议前置？</x:v>
      </x:c>
      <x:c r="K10" s="60" t="str">
        <x:v>经批准案件不能只看内部审批链条，应依行政诉讼规则和最终对外署名确定责任机关；公开答案强调以对外作出决定的机关为中心判断。</x:v>
      </x:c>
      <x:c r="L10" s="60" t="str">
        <x:v>1. 区分内部批准与对外行政决定。
2. 核对决定书署名、印章和法定权限，确定谁对外形成法律效果。
3. 在被告正确后，再审查事实、法律适用与报批程序是否合法。</x:v>
      </x:c>
      <x:c r="M10" s="60" t="str">
        <x:v>把所有内部参与机关都列为共同被告。</x:v>
      </x:c>
      <x:c r="N10" s="60" t="str">
        <x:v>已核验</x:v>
      </x:c>
      <x:c r="O10" s="60" t="str">
        <x:v>公开账号·已核验</x:v>
      </x:c>
      <x:c r="P10" s="60" t="str">
        <x:v>https://www.sina.cn/news/detail/5335348201916149.html</x:v>
      </x:c>
      <x:c r="Q10" s="60" t="str">
        <x:v>https://www.sina.cn/news/detail/5335514296095124.html</x:v>
      </x:c>
      <x:c r="R10" s="60" t="str">
        <x:v>2026-08-31</x:v>
      </x:c>
    </x:row>
    <x:row r="11" ht="130" customHeight="1">
      <x:c r="A11" s="60" t="str">
        <x:v>2026-lijia-08</x:v>
      </x:c>
      <x:c r="B11" s="61" t="n">
        <x:v>46259</x:v>
      </x:c>
      <x:c r="C11" s="60" t="str">
        <x:v>方圆众合</x:v>
      </x:c>
      <x:c r="D11" s="60" t="str">
        <x:v>李佳</x:v>
      </x:c>
      <x:c r="E11" s="60" t="str">
        <x:v>微博公开页（新浪镜像）</x:v>
      </x:c>
      <x:c r="F11" s="60" t="str">
        <x:v>行政法</x:v>
      </x:c>
      <x:c r="G11" s="60" t="str">
        <x:v>行政许可、撤回撤销、法不溯及既往</x:v>
      </x:c>
      <x:c r="H11" s="60" t="str">
        <x:v>第 8 题｜无期限演出许可遇到新规</x:v>
      </x:c>
      <x:c r="I11" s="60" t="str">
        <x:v>2009 年 8 月 19 日，甲省乙县文旅局向红旗文工团颁发未注明有效期限的营业性演出许可证。8 月 28 日，新公布的部门规章规定此类许可证有效期为两年，并于同年 10 月 1 日施行。2013 年 5 月，县文旅局直接适用新规认定许可证到期，在未告知文工团、未听取陈述申辩的情况下作出注销决定；注销公告刊登于当地报纸，但没有直接送达文工团。文工团后来得知后提起诉讼。
请回答：
1. 注销行为是否属于行政处罚？
2. 注销行为是否属于行政诉讼受案范围？
3. 法院应当作出何种判决？</x:v>
      </x:c>
      <x:c r="J11" s="60" t="str">
        <x:v>1. 许可证注销是否具有行政处罚的惩戒性？
2. 注销许可是否属于可诉行政行为？
3. 未告知、未听取陈述申辩且未送达对裁判结果有何影响？</x:v>
      </x:c>
      <x:c r="K11" s="60" t="str">
        <x:v>取消许可不因产生不利后果就当然属于行政处罚；需在撤回、撤销、注销等制度中依原因定性，并遵守新法不溯及既往和信赖保护。</x:v>
      </x:c>
      <x:c r="L11" s="60" t="str">
        <x:v>1. 以取消原因定性：违法取得可能撤销，公共利益或依据变化可能撤回，法定终止情形才是注销。
2. 行政处罚要求惩戒性，单纯终止许可通常不是处罚。
3. 新规原则上规范生效后的事项，对既有许可应考虑信赖保护与补偿。</x:v>
      </x:c>
      <x:c r="M11" s="60" t="str">
        <x:v>把所有“取消许可证”都写成吊销许可证的行政处罚。</x:v>
      </x:c>
      <x:c r="N11" s="60" t="str">
        <x:v>已核验</x:v>
      </x:c>
      <x:c r="O11" s="60" t="str">
        <x:v>公开账号·已核验</x:v>
      </x:c>
      <x:c r="P11" s="60" t="str">
        <x:v>https://www.sina.cn/news/detail/5335710590043877.html</x:v>
      </x:c>
      <x:c r="Q11" s="60" t="str">
        <x:v>https://www.sina.cn/news/detail/5335876684746019.html</x:v>
      </x:c>
      <x:c r="R11" s="60" t="str">
        <x:v>2026-08-31</x:v>
      </x:c>
    </x:row>
    <x:row r="12" ht="130" customHeight="1">
      <x:c r="A12" s="60" t="str">
        <x:v>2026-lijia-09</x:v>
      </x:c>
      <x:c r="B12" s="61" t="n">
        <x:v>46260</x:v>
      </x:c>
      <x:c r="C12" s="60" t="str">
        <x:v>方圆众合</x:v>
      </x:c>
      <x:c r="D12" s="60" t="str">
        <x:v>李佳</x:v>
      </x:c>
      <x:c r="E12" s="60" t="str">
        <x:v>微博公开页（新浪镜像）</x:v>
      </x:c>
      <x:c r="F12" s="60" t="str">
        <x:v>行政法</x:v>
      </x:c>
      <x:c r="G12" s="60" t="str">
        <x:v>机构职权变更、被告变更、裁判方式</x:v>
      </x:c>
      <x:c r="H12" s="60" t="str">
        <x:v>第 9 题｜预售许可争议中机构职权调整</x:v>
      </x:c>
      <x:c r="I12" s="60" t="str">
        <x:v>2017 年 1 月，县建设局向华源小区开发商甲颁发商品房预售许可证，许可销售一定面积的地下车位。小区业主林某在开发商开始销售车位时得知许可，认为相关车位和人防工程依法应当服务全体业主，建设局无权许可开发商出售，遂提起行政诉讼。其间，房产预售、登记职权已经由县建设局调整至县国土资源局。法院告知林某变更被告，林某拒绝；开发商甲作为第三人参加诉讼。
请回答：
1. 林某拒绝变更被告后，法院应当如何处理？
2. 林某作为小区业主是否具有原告资格？
3. 若行政机关未举证或逾期举证，第三人开发商甲能否提供证明预售许可合法的证据？</x:v>
      </x:c>
      <x:c r="J12" s="60" t="str">
        <x:v>1. 行政职权变更后谁承受被告资格，原告拒绝变更时法院如何裁定？
2. 小区业主与车位预售许可是否具有法律上的利害关系？
3. 被告怠于举证时第三人能否提交证据？</x:v>
      </x:c>
      <x:c r="K12" s="60" t="str">
        <x:v>行政职权变更后由继续行使该职权的机关承受诉讼责任；经释明原告拒绝变更错误被告的，可裁定驳回起诉。</x:v>
      </x:c>
      <x:c r="L12" s="60" t="str">
        <x:v>1. 先查职权调整文件，确定现由哪个机关继续行使涉案职权。
2. 法院应释明并给予原告变更被告的机会。
3. 原告无正当理由拒绝变更，起诉不符法定条件，裁定驳回。</x:v>
      </x:c>
      <x:c r="M12" s="60" t="str">
        <x:v>直接判决驳回诉讼请求，混淆实体裁判和起诉条件。</x:v>
      </x:c>
      <x:c r="N12" s="60" t="str">
        <x:v>已核验</x:v>
      </x:c>
      <x:c r="O12" s="60" t="str">
        <x:v>公开账号·已核验</x:v>
      </x:c>
      <x:c r="P12" s="60" t="str">
        <x:v>https://www.sina.cn/news/detail/5336072978171749.html</x:v>
      </x:c>
      <x:c r="Q12" s="60" t="str">
        <x:v>https://www.sina.cn/news/detail/5336239072611479.html</x:v>
      </x:c>
      <x:c r="R12" s="60" t="str">
        <x:v>2026-08-31</x:v>
      </x:c>
    </x:row>
    <x:row r="13" ht="130" customHeight="1">
      <x:c r="A13" s="60" t="str">
        <x:v>2026-lijia-10</x:v>
      </x:c>
      <x:c r="B13" s="61" t="n">
        <x:v>46261</x:v>
      </x:c>
      <x:c r="C13" s="60" t="str">
        <x:v>方圆众合</x:v>
      </x:c>
      <x:c r="D13" s="60" t="str">
        <x:v>李佳</x:v>
      </x:c>
      <x:c r="E13" s="60" t="str">
        <x:v>微博公开页（新浪镜像）</x:v>
      </x:c>
      <x:c r="F13" s="60" t="str">
        <x:v>行政法</x:v>
      </x:c>
      <x:c r="G13" s="60" t="str">
        <x:v>行政许可撤销、资格限制</x:v>
      </x:c>
      <x:c r="H13" s="60" t="str">
        <x:v>第 10 题｜骗领驾驶证被撤销并三年禁申</x:v>
      </x:c>
      <x:c r="I13" s="60" t="str">
        <x:v>崔某以作弊方式取得驾驶证。某市交警大队发现后撤销其驾驶证，并禁止崔某三年内参加驾考、再次申请驾驶证。崔某申请行政复议；市政府经审理认为其复议请求不成立，驳回复议请求。崔某不服并提起行政诉讼。
请回答：
1. 撤销驾驶证是否属于行政处罚？
2. 三年内禁止参加驾考、申请驾驶证是什么性质？
3. 本案行政诉讼被告应如何确定？</x:v>
      </x:c>
      <x:c r="J13" s="60" t="str">
        <x:v>1. 因作弊取得许可而撤销是否具有行政处罚的惩戒性？
2. 三年禁申是否属于行为罚？
3. 复议机关驳回复议请求是否构成复议维持，谁是共同被告？</x:v>
      </x:c>
      <x:c r="K13" s="60" t="str">
        <x:v>因欺骗取得许可而撤销，是许可纠错机制，并非当然属于行政处罚；三年禁申是法律规定的资格限制后果，应分别审查依据。</x:v>
      </x:c>
      <x:c r="L13" s="60" t="str">
        <x:v>1. 撤销针对原许可取得违法，功能是纠正违法授益行为。
2. 是否构成处罚取决于规范定性与惩戒性，不能只看不利后果。
3. 三年禁申须有明确法律依据，并审查告知、听取意见等程序。</x:v>
      </x:c>
      <x:c r="M13" s="60" t="str">
        <x:v>把撤销许可与吊销许可证混为同一种处罚。</x:v>
      </x:c>
      <x:c r="N13" s="60" t="str">
        <x:v>已核验</x:v>
      </x:c>
      <x:c r="O13" s="60" t="str">
        <x:v>公开账号·已核验</x:v>
      </x:c>
      <x:c r="P13" s="60" t="str">
        <x:v>https://www.sina.cn/news/detail/5336435365252898.html</x:v>
      </x:c>
      <x:c r="Q13" s="60" t="str">
        <x:v>https://www.sina.cn/news/detail/5336601460477169.html</x:v>
      </x:c>
      <x:c r="R13" s="60" t="str">
        <x:v>2026-08-31</x:v>
      </x:c>
    </x:row>
    <x:row r="14" ht="130" customHeight="1">
      <x:c r="A14" s="60" t="str">
        <x:v>2026-lijia-11</x:v>
      </x:c>
      <x:c r="B14" s="61" t="n">
        <x:v>46262</x:v>
      </x:c>
      <x:c r="C14" s="60" t="str">
        <x:v>方圆众合</x:v>
      </x:c>
      <x:c r="D14" s="60" t="str">
        <x:v>李佳</x:v>
      </x:c>
      <x:c r="E14" s="60" t="str">
        <x:v>微博公开页（新浪镜像）</x:v>
      </x:c>
      <x:c r="F14" s="60" t="str">
        <x:v>行政法</x:v>
      </x:c>
      <x:c r="G14" s="60" t="str">
        <x:v>原告资格、债权人与行政处罚</x:v>
      </x:c>
      <x:c r="H14" s="60" t="str">
        <x:v>第 11 题｜债权人能否起诉对茶企的处罚</x:v>
      </x:c>
      <x:c r="I14" s="60" t="str">
        <x:v>区市场监管局检查发现泰和堂公司销售云雾山公司生产的代用茶，产品配料栏同时标注“山梨酸钾”和“保鲜剂（山梨酸钾）”。监管局认定构成重复标注，没收违法所得 711.5 元并罚款 29,288.5 元。生产商云雾山公司不服并起诉，法院通知销售商泰和堂公司作为第三人。当地规定对法人处以 2 万元以上罚款应告知听证权；食品安全法对不影响安全且不误导消费者的标签瑕疵，以及已经履行进货查验义务的经营者分别设有处理规则。
请回答：
1. 云雾山公司是否具有原告资格？
2. 监管局未经听证程序即作出处罚是否合法？
3. 将重复标注按一般违法处以 2.9 万元罚款，是否存在实体违法？
4. 泰和堂能够证明已经履行进货查验义务且不知道标签问题时，能否免予处罚？
5. 一审法院将罚款变更为 2,000 元，原被告均不上诉，第三人泰和堂能否独立上诉？
6. 一审遗漏应当参加诉讼的第三人，二审法院如何处理？</x:v>
      </x:c>
      <x:c r="J14" s="60" t="str">
        <x:v>1. 生产商与对销售商的处罚是否具有法律上的利害关系？
2. 较大数额罚款是否应告知听证权？
3. 重复标注属于一般标签违法还是不误导消费者的标签瑕疵？
4. 履行进货查验义务的经营者能否免罚？
5. 行政诉讼第三人能否独立上诉？
6. 一审遗漏第三人时二审如何处理？</x:v>
      </x:c>
      <x:c r="K14" s="60" t="str">
        <x:v>生产商可依利害关系取得原告资格。法人罚款超过当地听证标准而未告知听证权，程序违法。重复标注若不影响食品安全且不误导消费者，应适用标签瑕疵条款，原罚款存在适用法律错误。经营者已尽进货查验义务并如实说明来源的，可以免罚。行政诉讼第三人具有独立诉讼地位，可以上诉；一审遗漏第三人的，二审应撤销原判并发回重审。</x:v>
      </x:c>
      <x:c r="L14" s="60" t="str">
        <x:v>1. 云雾山公司是涉案商品生产商，处罚对产品违法定性直接影响其权益，且难以通过与销售商之间的民事诉讼消除该行政定性，可论证具有原告资格。
2. 2.9 万元超过当地法人较大数额罚款门槛，处罚前应告知听证权；仅书面调查即作出处罚构成程序违法。
3. 配料重复标注若不影响安全且不会误导消费者，属于标签瑕疵，应先责令改正，拒不改正时才在法定较低幅度内处罚。
4. 泰和堂已履行进货查验、确不知情并能说明来源时，符合食品安全法免罚条件。
5. 第三人属于行政诉讼当事人，可独立上诉；遗漏当事人属于严重程序问题，二审撤销并发回重审。</x:v>
      </x:c>
      <x:c r="M14" s="60" t="str">
        <x:v>把生产商误写成一般债权人；遗漏听证数额标准、标签瑕疵特别规则和第三人的独立诉讼地位。</x:v>
      </x:c>
      <x:c r="N14" s="60" t="str">
        <x:v>已核验·有分歧</x:v>
      </x:c>
      <x:c r="O14" s="60" t="str">
        <x:v>公开账号·已核验</x:v>
      </x:c>
      <x:c r="P14" s="60" t="str">
        <x:v>https://www.sina.cn/news/detail/5336797753117125.html</x:v>
      </x:c>
      <x:c r="Q14" s="60" t="str">
        <x:v>https://www.sina.cn/news/detail/5336963848079608.html</x:v>
      </x:c>
      <x:c r="R14" s="60" t="str">
        <x:v>2026-08-31</x:v>
      </x:c>
    </x:row>
    <x:row r="15" ht="130" customHeight="1">
      <x:c r="A15" s="60" t="str">
        <x:v>2026-lijia-12</x:v>
      </x:c>
      <x:c r="B15" s="61" t="n">
        <x:v>46263</x:v>
      </x:c>
      <x:c r="C15" s="60" t="str">
        <x:v>方圆众合</x:v>
      </x:c>
      <x:c r="D15" s="60" t="str">
        <x:v>李佳</x:v>
      </x:c>
      <x:c r="E15" s="60" t="str">
        <x:v>微博公开页（新浪镜像）</x:v>
      </x:c>
      <x:c r="F15" s="60" t="str">
        <x:v>行政法</x:v>
      </x:c>
      <x:c r="G15" s="60" t="str">
        <x:v>行政处罚调查、询问笔录</x:v>
      </x:c>
      <x:c r="H15" s="60" t="str">
        <x:v>第 12 题｜酒后无证驾驶的调查与询问程序</x:v>
      </x:c>
      <x:c r="I15" s="60" t="str">
        <x:v>2026 年 2 月 7 日，董某酒后偷开邻居冯某的奥迪汽车上路。甲市公安局乙区分局接警后传唤董某，并询问证人王某和被侵害人。2 月 10 日，区公安分局依据治安管理处罚法和本局裁量基准，对董某处行政拘留 10 日并罚款 1,000 元。董某于 2 月 15 日申请行政复议，并请求附带审查区公安分局制定的行政处罚裁量基准。
请回答：
1. 公安机关询问王某应遵守哪些要求？
2. 冯某不在甲市时，可以通过哪些方式询问？
3. 治安案件法定办案期限如何计算和延长？
4. 复议机关如何处理对裁量基准的附带审查请求？
5. 题设处罚是否符合该裁量基准？</x:v>
      </x:c>
      <x:c r="J15" s="60" t="str">
        <x:v>1. 询问证人时出示证件、笔录核对与书面陈述有哪些要求？
2. 异地证人可采用哪些现场、委托或远程询问方式？
3. 治安案件办案期限、延长次数及不计入期限事项是什么？
4. 复议机关对有权处理的规范性文件附带审查如何作出处理？
5. 如何把裁量基准中的严重情形与本案事实进行涵摄？</x:v>
      </x:c>
      <x:c r="K15" s="60" t="str">
        <x:v>询问人员应出示人民警察证，笔录交被询问人核对或宣读并签名确认，书面材料请求原则上准许。异地询问可以在所在地进行、委托当地公安机关或远程视频进行。治安案件原则上自立案起 30 日，重大复杂案件经批准可延长 30 日，延长以两次为限，鉴定与听证期间不计入。复议机关有权处理裁量基准的，应在 30 日内审查并依合法与否分别告知或责令纠正。本案酒后偷开机动车符合严重情形，拘留 10 日并罚款 1,000 元在基准幅度内。</x:v>
      </x:c>
      <x:c r="L15" s="60" t="str">
        <x:v>1. 询问人员出示警察证；笔录交被询问人核对，无阅读能力的予以宣读；允许补充更正，确认无误后由被询问人及询问人员签名，并可提交书面材料。
2. 可到证人单位、住处或其提出的地点询问，也可通知其到公安机关；还可委托所在地公安机关，或通过公安视频系统远程询问并同步录音录像。
3. 办案期限原则上 30 日，重大复杂经上一级公安机关批准延长 30 日，延长以两次为限；鉴定和听证期间不计入。
4. 乙区政府作为复议机关对区公安分局制定的裁量基准有权处理，应在 30 日内审查；合法的在复议决定中告知，违法的停止执行并责令纠正。
5. 将酒后偷开机动车事实对应基准中的严重情形，10 日拘留和 1,000 元罚款均在规定幅度内。</x:v>
      </x:c>
      <x:c r="M15" s="60" t="str">
        <x:v>只写酒驾实体责任，遗漏题目要求的调查程序。</x:v>
      </x:c>
      <x:c r="N15" s="60" t="str">
        <x:v>已核验</x:v>
      </x:c>
      <x:c r="O15" s="60" t="str">
        <x:v>公开账号·已核验</x:v>
      </x:c>
      <x:c r="P15" s="60" t="str">
        <x:v>https://www.sina.cn/news/detail/5337160141767580.html</x:v>
      </x:c>
      <x:c r="Q15" s="60" t="str">
        <x:v>https://www.sina.cn/news/detail/5337326235422390.html</x:v>
      </x:c>
      <x:c r="R15" s="60" t="str">
        <x:v>2026-08-31</x:v>
      </x:c>
    </x:row>
    <x:row r="16" ht="130" customHeight="1">
      <x:c r="A16" s="60" t="str">
        <x:v>2026-lijia-13</x:v>
      </x:c>
      <x:c r="B16" s="61" t="n">
        <x:v>46264</x:v>
      </x:c>
      <x:c r="C16" s="60" t="str">
        <x:v>方圆众合</x:v>
      </x:c>
      <x:c r="D16" s="60" t="str">
        <x:v>李佳</x:v>
      </x:c>
      <x:c r="E16" s="60" t="str">
        <x:v>微博公开页（新浪镜像）</x:v>
      </x:c>
      <x:c r="F16" s="60" t="str">
        <x:v>行政法</x:v>
      </x:c>
      <x:c r="G16" s="60" t="str">
        <x:v>环境行政执法、原告资格、损害救济</x:v>
      </x:c>
      <x:c r="H16" s="60" t="str">
        <x:v>第 13 题｜诊所排放导致鱼类死亡的多重责任</x:v>
      </x:c>
      <x:c r="I16" s="60" t="str">
        <x:v>任某在乙县经营医美诊所，长期把未经处理的医疗废水和带血棉签等医疗废物倾倒至公共排水渠，造成相邻小区景观池恶臭、景观鱼大量死亡。县卫健局接到居民陆某举报后现场检查，对排水渠残留物和诊所监控硬盘采取证据先行登记保存；七日后检测确认污染严重，遂以违反医疗废物管理规定为由对任某罚款 2 万元。任某起诉，法院通知陆某作为第三人参加诉讼。
请回答：
1. 采取证据先行登记保存的法定条件和程序是什么？
2. 庭审中法院认为需要通知新的证人到庭，应如何处理？
3. 第三人陆某未经法庭许可中途退庭，法院应如何处理？
4. 诉讼中任某突发心脏病死亡，法院应如何处理？</x:v>
      </x:c>
      <x:c r="J16" s="60" t="str">
        <x:v>1. 先行登记保存须满足何种证据风险、审批和七日处理要求？
2. 需要通知新证人到庭时应延期审理还是中止诉讼？
3. 第三人未经许可中途退庭应按撤诉、缺席审理还是其他方式处理？
4. 原告死亡后案件应先中止还是终结，取决于哪些继承与诉讼承受事实？</x:v>
      </x:c>
      <x:c r="K16" s="60" t="str">
        <x:v>截至 2026-08-31，本库已定位并保存完整题目单篇页；当天公布答案的单篇公开镜像尚未形成稳定索引，因此本条只提供完整原创作答，不把推演标成教师公布答案。</x:v>
      </x:c>
      <x:c r="L16" s="60" t="str">
        <x:v>1. 证据可能灭失或以后难以取得时，经行政机关负责人批准可以先行登记保存，并应在七日内及时作出处理决定；保存期间不得销毁或转移证据。
2. 庭审中需要通知新证人到庭的，法院应当延期审理，而非中止诉讼。
3. 第三人未经法庭许可中途退庭，不影响案件审理的，可以缺席审理；不能把第三人直接按原告撤诉处理。
4. 原告死亡后，如案件所涉权利义务可由近亲属承受，应先中止诉讼并等待有权主体表明是否参加；无人承受或依法不需继续审理时，再终结诉讼。</x:v>
      </x:c>
      <x:c r="M16" s="60" t="str">
        <x:v>把延期审理与中止诉讼混淆；把第三人退庭机械写成按撤诉；原告死亡后不审查诉讼承受就直接终结。</x:v>
      </x:c>
      <x:c r="N16" s="60" t="str">
        <x:v>答案待公开复核</x:v>
      </x:c>
      <x:c r="O16" s="60" t="str">
        <x:v>题面已核验·答案待核验</x:v>
      </x:c>
      <x:c r="P16" s="60" t="str">
        <x:v>https://www.sina.cn/news/detail/5337522529634735.html</x:v>
      </x:c>
      <x:c r="Q16" s="60" t="str">
        <x:v>https://www.sina.cn/news/detail/5337522529634735.html</x:v>
      </x:c>
      <x:c r="R16" s="60" t="str">
        <x:v>2026-08-31</x:v>
      </x:c>
    </x:row>
    <x:row r="17" ht="130" customHeight="1">
      <x:c r="A17" s="60" t="str">
        <x:v>2026-meng-225</x:v>
      </x:c>
      <x:c r="B17" s="61" t="n">
        <x:v>46221</x:v>
      </x:c>
      <x:c r="C17" s="60" t="str">
        <x:v>方圆众合</x:v>
      </x:c>
      <x:c r="D17" s="60" t="str">
        <x:v>孟献贵</x:v>
      </x:c>
      <x:c r="E17" s="60" t="str">
        <x:v>微博公开页（新浪镜像）</x:v>
      </x:c>
      <x:c r="F17" s="60" t="str">
        <x:v>民法</x:v>
      </x:c>
      <x:c r="G17" s="60" t="str">
        <x:v>合同相对性、以房抵款</x:v>
      </x:c>
      <x:c r="H17" s="60" t="str">
        <x:v>案例带写第 225 题｜第三人原因能否免责</x:v>
      </x:c>
      <x:c r="I17" s="60" t="str">
        <x:v>A 建筑公司承建 B 房地产公司的楼盘。双方约定，B 公司以建成后的 5 套房屋折抵部分工程款，并负责保证这些房屋具备合法销售条件。随后，A 公司将其中一套房屋出售给陈某并收取首付款，余款约定通过按揭支付；办理预售、按揭和产权手续需要 B 公司配合。后来 A、B 两公司的施工合同发生争议，B 公司拒绝继续履行以房抵款安排，致使 A 公司不能按期向陈某交付房屋。陈某据此要求 A 公司承担违约责任。
请回答：A 公司能否以“未交房是 B 公司不配合造成的”为由，对陈某免除违约责任？请说明理由、法律依据以及 A 公司承担责任后的救济路径。</x:v>
      </x:c>
      <x:c r="J17" s="60" t="str">
        <x:v>1. A 公司能否以第三人 B 公司的原因对抗合同相对人陈某？
2. 陈某可以向 A 公司主张哪些违约救济？
3. A 公司承担责任后，能否再向 B 公司追偿？</x:v>
      </x:c>
      <x:c r="K17" s="60" t="str">
        <x:v>合同责任具有相对性；第三人的原因原则上不免除合同债务人的违约责任，债务人承担后可另行向第三人追偿。</x:v>
      </x:c>
      <x:c r="L17" s="60" t="str">
        <x:v>1. 先确定双方之间合同义务的内容和履行期限。
2. 第三人原因属于债务人与第三人内部风险，除法定或约定免责外，不对抗合同相对人。
3. 结论上由债务人承担继续履行、赔偿等责任，再处理内部追偿。</x:v>
      </x:c>
      <x:c r="M17" s="60" t="str">
        <x:v>把第三人违约直接当作不可抗力。</x:v>
      </x:c>
      <x:c r="N17" s="60" t="str">
        <x:v>已核验</x:v>
      </x:c>
      <x:c r="O17" s="60" t="str">
        <x:v>公开账号·已核验</x:v>
      </x:c>
      <x:c r="P17" s="60" t="str">
        <x:v>https://www.sina.cn/media/2342740757</x:v>
      </x:c>
      <x:c r="Q17" s="60" t="str">
        <x:v>https://www.sina.cn/media/2342740757</x:v>
      </x:c>
      <x:c r="R17" s="60" t="str">
        <x:v>2026-08-31</x:v>
      </x:c>
    </x:row>
    <x:row r="18" ht="130" customHeight="1">
      <x:c r="A18" s="60" t="str">
        <x:v>2026-meng-226</x:v>
      </x:c>
      <x:c r="B18" s="61" t="n">
        <x:v>46222</x:v>
      </x:c>
      <x:c r="C18" s="60" t="str">
        <x:v>方圆众合</x:v>
      </x:c>
      <x:c r="D18" s="60" t="str">
        <x:v>孟献贵</x:v>
      </x:c>
      <x:c r="E18" s="60" t="str">
        <x:v>微博公开页（新浪镜像）</x:v>
      </x:c>
      <x:c r="F18" s="60" t="str">
        <x:v>民法</x:v>
      </x:c>
      <x:c r="G18" s="60" t="str">
        <x:v>预约合同、定金返还</x:v>
      </x:c>
      <x:c r="H18" s="60" t="str">
        <x:v>案例带写第 226 题｜购房预约与定金</x:v>
      </x:c>
      <x:c r="I18" s="60" t="str">
        <x:v>刘某到天蓝公司售楼部看房，对样板房表示满意。双方随即签订《房屋预购合同》，约定刘某先支付 5 万元定金，并在 2025 年 3 月 1 日进一步签订正式商品房买卖合同。刘某按约交付了定金。此后，双方均依诚信原则就正式合同进行磋商，但因公开题面设定的、不可归责于刘某和天蓝公司的客观事由，正式买卖合同最终未能订立。刘某要求天蓝公司返还已经收取的 5 万元。
请回答：刘某的返还请求能否得到支持？本案是否适用定金罚则？请区分预约合同责任与商品房买卖本约责任作答。</x:v>
      </x:c>
      <x:c r="J18" s="60" t="str">
        <x:v>1. 《房屋预购合同》的法律性质是什么？
2. 本约未订立的原因不可归责于双方时，定金如何处理？
3. 何种情况下才适用双倍返还定金？</x:v>
      </x:c>
      <x:c r="K18" s="60" t="str">
        <x:v>因不可归责于双方的事由导致本约未订立，定金罚则不适用，收受方应返还定金。</x:v>
      </x:c>
      <x:c r="L18" s="60" t="str">
        <x:v>1. 先区分预约合同和商品房买卖本约。
2. 判断未订立本约的原因是否可归责；双方诚信磋商仍因外部原因失败的，不适用定金罚则。
3. 返还定金不等于双倍返还，除非收受方存在导致目的不能实现的违约。</x:v>
      </x:c>
      <x:c r="M18" s="60" t="str">
        <x:v>只要没有签成本约就机械双倍返还。</x:v>
      </x:c>
      <x:c r="N18" s="60" t="str">
        <x:v>已核验</x:v>
      </x:c>
      <x:c r="O18" s="60" t="str">
        <x:v>公开账号·已核验</x:v>
      </x:c>
      <x:c r="P18" s="60" t="str">
        <x:v>https://www.sina.cn/media/2342740757</x:v>
      </x:c>
      <x:c r="Q18" s="60" t="str">
        <x:v>https://www.sina.cn/media/2342740757</x:v>
      </x:c>
      <x:c r="R18" s="60" t="str">
        <x:v>2026-08-31</x:v>
      </x:c>
    </x:row>
    <x:row r="19" ht="130" customHeight="1">
      <x:c r="A19" s="60" t="str">
        <x:v>2026-meng-227</x:v>
      </x:c>
      <x:c r="B19" s="61" t="n">
        <x:v>46223</x:v>
      </x:c>
      <x:c r="C19" s="60" t="str">
        <x:v>方圆众合</x:v>
      </x:c>
      <x:c r="D19" s="60" t="str">
        <x:v>孟献贵</x:v>
      </x:c>
      <x:c r="E19" s="60" t="str">
        <x:v>微博公开页（新浪镜像）</x:v>
      </x:c>
      <x:c r="F19" s="60" t="str">
        <x:v>民法</x:v>
      </x:c>
      <x:c r="G19" s="60" t="str">
        <x:v>迟延履行违约金与其他违约责任</x:v>
      </x:c>
      <x:c r="H19" s="60" t="str">
        <x:v>案例带写第 227 题｜迟延违约金能否与其他责任并用</x:v>
      </x:c>
      <x:c r="I19" s="60" t="str">
        <x:v>黄某看房时，A 房地产公司向其展示了预售楼盘的宣传资料和沙盘。双方签订商品房买卖合同，约定总价 60 万元，黄某在一周内付清房款，A 公司应在 2024 年 6 月 30 日前交房；任何一方迟延履行，均按日支付违约金。黄某按期付清房款，A 公司却到 2024 年 8 月 16 日才通知入住。黄某验房后又发现，房屋窗外设置了宣传资料和沙盘中均未显示的装饰钢梁，遂要求 A 公司承担迟延交付责任并处理交付房屋不符合约定的问题。
请回答：黄某能否在请求 A 公司支付迟延履行违约金的同时，继续要求 A 公司履行其他合同义务或承担其他违约责任？请说明理由和法律依据。</x:v>
      </x:c>
      <x:c r="J19" s="60" t="str">
        <x:v>1. 迟延履行违约金与继续履行能否同时主张？
2. 迟延交房与交付标的不符合约定是否属于不同违约行为？
3. 两类责任并用时如何避免重复赔偿？</x:v>
      </x:c>
      <x:c r="K19" s="60" t="str">
        <x:v>可以同时主张。就迟延履行约定违约金的，违约方支付违约金后仍应履行债务；对迟延履行以外的其他不符合约定行为，还应依其性质承担相应的补救或赔偿责任。</x:v>
      </x:c>
      <x:c r="L19" s="60" t="str">
        <x:v>1. 迟延履行违约金补偿并督促按期履行，支付后并不当然消灭原债务。
2. 交房迟延与交付房屋不符合约定是两个可分别评价的违约行为。
3. 黄某可以并行主张，但同一损失不得重复获得赔偿。</x:v>
      </x:c>
      <x:c r="M19" s="60" t="str">
        <x:v>把支付迟延履行违约金误写成债务和其他违约责任全部消灭。</x:v>
      </x:c>
      <x:c r="N19" s="60" t="str">
        <x:v>已核验</x:v>
      </x:c>
      <x:c r="O19" s="60" t="str">
        <x:v>公开账号·已核验</x:v>
      </x:c>
      <x:c r="P19" s="60" t="str">
        <x:v>https://www.sina.cn/media/2342740757</x:v>
      </x:c>
      <x:c r="Q19" s="60" t="str">
        <x:v>https://www.sina.cn/media/2342740757</x:v>
      </x:c>
      <x:c r="R19" s="60" t="str">
        <x:v>2026-08-31</x:v>
      </x:c>
    </x:row>
    <x:row r="20" ht="130" customHeight="1">
      <x:c r="A20" s="60" t="str">
        <x:v>2026-meng-228</x:v>
      </x:c>
      <x:c r="B20" s="61" t="n">
        <x:v>46224</x:v>
      </x:c>
      <x:c r="C20" s="60" t="str">
        <x:v>方圆众合</x:v>
      </x:c>
      <x:c r="D20" s="60" t="str">
        <x:v>孟献贵</x:v>
      </x:c>
      <x:c r="E20" s="60" t="str">
        <x:v>微博公开页（新浪镜像）</x:v>
      </x:c>
      <x:c r="F20" s="60" t="str">
        <x:v>民法</x:v>
      </x:c>
      <x:c r="G20" s="60" t="str">
        <x:v>违约金调整</x:v>
      </x:c>
      <x:c r="H20" s="60" t="str">
        <x:v>案例带写第 228 题｜日百分之五违约金能否调整</x:v>
      </x:c>
      <x:c r="I20" s="60" t="str">
        <x:v>黄某与 A 房地产公司签订商品房买卖合同，约定房屋总价 60 万元，黄某应在一周内付清，A 公司应在 2024 年 6 月 30 日前交房；任何一方迟延履行合同义务，均按日 5% 支付违约金。黄某依约付款，A 公司到 2024 年 8 月 16 日才发出入住通知。黄某起诉要求按约计算迟延交房违约金，A 公司则请求法院降低违约金。
请回答：A 公司能否请求法院适当减少约定违约金？法院应依据哪些因素审查，能否机械套用固定比例？</x:v>
      </x:c>
      <x:c r="J20" s="60" t="str">
        <x:v>1. 违约方请求调减约定违约金的规范依据是什么？
2. 日 5% 的约定是否属于明显过高？
3. 法院确定调整幅度时应综合考虑哪些因素？</x:v>
      </x:c>
      <x:c r="K20" s="60" t="str">
        <x:v>约定违约金明显高于实际损失时，可依请求适当减少；日百分之五通常已明显过高，但仍应结合损失、履行程度、过错和预期利益综合判断。</x:v>
      </x:c>
      <x:c r="L20" s="60" t="str">
        <x:v>1. 违约金兼具补偿和督促履行功能，不以约定即绝对不变。
2. 当事人提出调整请求后，以实际损失为基础，综合合同履行、过错和预期利益。
3. 本案比例显著异常，法院可以适当调低，但不是当然降到固定标准。</x:v>
      </x:c>
      <x:c r="M20" s="60" t="str">
        <x:v>直接写成法定上限为损失的百分之三十。</x:v>
      </x:c>
      <x:c r="N20" s="60" t="str">
        <x:v>已核验</x:v>
      </x:c>
      <x:c r="O20" s="60" t="str">
        <x:v>公开账号·已核验</x:v>
      </x:c>
      <x:c r="P20" s="60" t="str">
        <x:v>https://www.sina.cn/media/2342740757</x:v>
      </x:c>
      <x:c r="Q20" s="60" t="str">
        <x:v>https://www.sina.cn/media/2342740757</x:v>
      </x:c>
      <x:c r="R20" s="60" t="str">
        <x:v>2026-08-31</x:v>
      </x:c>
    </x:row>
    <x:row r="21" ht="130" customHeight="1">
      <x:c r="A21" s="60" t="str">
        <x:v>2026-meng-229</x:v>
      </x:c>
      <x:c r="B21" s="61" t="n">
        <x:v>46226</x:v>
      </x:c>
      <x:c r="C21" s="60" t="str">
        <x:v>方圆众合</x:v>
      </x:c>
      <x:c r="D21" s="60" t="str">
        <x:v>孟献贵</x:v>
      </x:c>
      <x:c r="E21" s="60" t="str">
        <x:v>微博公开页（新浪镜像）</x:v>
      </x:c>
      <x:c r="F21" s="60" t="str">
        <x:v>民法</x:v>
      </x:c>
      <x:c r="G21" s="60" t="str">
        <x:v>房屋增值损失、可预见规则</x:v>
      </x:c>
      <x:c r="H21" s="60" t="str">
        <x:v>案例带写第 229 题｜工抵房不能交付后的增值损失</x:v>
      </x:c>
      <x:c r="I21" s="60" t="str">
        <x:v>A 建筑公司承建 B 房地产公司的楼盘，双方约定由 B 公司以 5 套建成房屋折抵部分工程款。A 公司随后与陈某签订房屋销售合同，以 300 万元出售其中一套房屋，并收取 150 万元首付款，余款拟通过按揭支付。因 A、B 两公司的施工合同发生纠纷，B 公司未履行抵房义务，后来又将该房屋出售给案外人，陈某最终无法取得房屋。陈某起诉解除其与 A 公司的合同，并在请求返还首付款之外，要求 A、B 两公司连带赔偿房屋增值损失 886.98 万元。
请回答：陈某主张的房屋增值损失应否得到支持？请从违约损害赔偿范围、可预见性、确定性、因果关系及合同相对性展开分析。</x:v>
      </x:c>
      <x:c r="J21" s="60" t="str">
        <x:v>1. 房屋市场增值能否作为合同履行后的可得利益？
2. 886.98 万元损失是否具有可预见性和足够确定性？
3. 陈某能否要求与其没有销售合同关系的 B 公司承担连带违约责任？</x:v>
      </x:c>
      <x:c r="K21" s="60" t="str">
        <x:v>公布解析的第一结论为不支持。违约损害赔偿虽可包含履行利益，但不得超过违约方订约时已经预见或应当预见的可能损失；巨额房屋增值还须证明确定性、因果关系和合理计算基础，且连带责任必须有法律或约定依据。</x:v>
      </x:c>
      <x:c r="L21" s="60" t="str">
        <x:v>1. 先确定 A 公司不能交房构成违约，再判断增值利益是否属于订约时可预见的履行利益。
2. 陈某必须证明增值损失的确定性、计算基准和违约行为之间的因果关系。
3. B 公司不是陈某销售合同的当事人；没有侵权、法定连带或另行承诺事实时，不当然与 A 公司承担连带违约责任。</x:v>
      </x:c>
      <x:c r="M21" s="60" t="str">
        <x:v>看到房价上涨就把全部涨幅直接写成可得利益，或无依据地判令非合同当事人承担连带责任。</x:v>
      </x:c>
      <x:c r="N21" s="60" t="str">
        <x:v>已核验</x:v>
      </x:c>
      <x:c r="O21" s="60" t="str">
        <x:v>公开账号·已核验</x:v>
      </x:c>
      <x:c r="P21" s="60" t="str">
        <x:v>https://www.sina.cn/media/2342740757</x:v>
      </x:c>
      <x:c r="Q21" s="60" t="str">
        <x:v>https://www.sina.cn/media/2342740757</x:v>
      </x:c>
      <x:c r="R21" s="60" t="str">
        <x:v>2026-08-31</x:v>
      </x:c>
    </x:row>
    <x:row r="22" ht="130" customHeight="1">
      <x:c r="A22" s="60" t="str">
        <x:v>2026-meng-230</x:v>
      </x:c>
      <x:c r="B22" s="61" t="n">
        <x:v>46228</x:v>
      </x:c>
      <x:c r="C22" s="60" t="str">
        <x:v>方圆众合</x:v>
      </x:c>
      <x:c r="D22" s="60" t="str">
        <x:v>孟献贵</x:v>
      </x:c>
      <x:c r="E22" s="60" t="str">
        <x:v>微博公开页（新浪镜像）</x:v>
      </x:c>
      <x:c r="F22" s="60" t="str">
        <x:v>民法</x:v>
      </x:c>
      <x:c r="G22" s="60" t="str">
        <x:v>迟延履行、瑕疵履行、商品房宣传</x:v>
      </x:c>
      <x:c r="H22" s="60" t="str">
        <x:v>案例带写第 230 题｜迟延交房与窗外钢梁</x:v>
      </x:c>
      <x:c r="I22" s="60" t="str">
        <x:v>2023 年 8 月 10 日，黄某到 A 房地产公司售楼部了解预售楼盘，工作人员向其展示宣传资料和沙盘。8 月 17 日，双方签订商品房买卖合同：黄某购买 5 楼住宅一套，总价 60 万元，于一周内付清；A 公司应在 2024 年 6 月 30 日前交房；任何一方迟延履行，按日支付违约金。黄某按约付款，A 公司到 2024 年 8 月 16 日才通知入住。黄某验收入住后发现窗外有装饰钢梁，宣传资料、沙盘和书面合同均未显示或约定该钢梁。经查，钢梁符合经审批的施工图和竣工图，房屋也验收合格。黄某协商未果后诉请拆除钢梁。
请回答：A 公司存在哪些违约行为？请分别说明迟延履行和交付房屋不符合约定的判断依据。</x:v>
      </x:c>
      <x:c r="J22" s="60" t="str">
        <x:v>1. A 公司超过约定日期发出入住通知，构成何种违约？
2. 宣传资料和沙盘未显示钢梁，对合同内容认定有何影响？
3. 钢梁符合行政审批和验收，是否当然排除民事违约责任？</x:v>
      </x:c>
      <x:c r="K22" s="60" t="str">
        <x:v>公布答案认定 A 公司存在两项违约：一是超过约定交房日期，构成迟延履行；二是实际交付房屋与订约时形成的具体外观预期不一致，属于履行不符合约定。行政审批和竣工验收合格，并不当然排除其合同责任。</x:v>
      </x:c>
      <x:c r="L22" s="60" t="str">
        <x:v>1. 合同约定 2024 年 6 月 30 日前交房，A 公司到 8 月 16 日才通知入住，构成迟延履行。
2. 宣传资料和沙盘所形成的具体外观说明若对订约有重大影响，可纳入合同内容；实际钢梁与之不符，构成瑕疵履行。
3. 行政审批解决公法合规问题，合同责任仍按当事人约定和交易期待独立判断。</x:v>
      </x:c>
      <x:c r="M22" s="60" t="str">
        <x:v>把通过行政审批、竣工验收等同于一定不存在民事违约。</x:v>
      </x:c>
      <x:c r="N22" s="60" t="str">
        <x:v>题目单篇与公布答案均已核验</x:v>
      </x:c>
      <x:c r="O22" s="60" t="str">
        <x:v>教师原发·已核验</x:v>
      </x:c>
      <x:c r="P22" s="60" t="str">
        <x:v>https://www.sina.cn/news/detail/5324476134457995.html</x:v>
      </x:c>
      <x:c r="Q22" s="60" t="str">
        <x:v>https://www.sina.cn/news/detail/5325201449422351.html</x:v>
      </x:c>
      <x:c r="R22" s="60" t="str">
        <x:v>2026-08-31</x:v>
      </x:c>
    </x:row>
    <x:row r="23" ht="130" customHeight="1">
      <x:c r="A23" s="60" t="str">
        <x:v>2026-meng-231</x:v>
      </x:c>
      <x:c r="B23" s="61" t="n">
        <x:v>46230</x:v>
      </x:c>
      <x:c r="C23" s="60" t="str">
        <x:v>方圆众合</x:v>
      </x:c>
      <x:c r="D23" s="60" t="str">
        <x:v>孟献贵</x:v>
      </x:c>
      <x:c r="E23" s="60" t="str">
        <x:v>微博公开页（新浪镜像）</x:v>
      </x:c>
      <x:c r="F23" s="60" t="str">
        <x:v>民法</x:v>
      </x:c>
      <x:c r="G23" s="60" t="str">
        <x:v>房屋租赁、登记备案、实际履行</x:v>
      </x:c>
      <x:c r="H23" s="60" t="str">
        <x:v>案例带写第 231 题｜二十五年租期与强制履行</x:v>
      </x:c>
      <x:c r="I23" s="60" t="str">
        <x:v>2024 年 1 月 2 日，甲超市连锁有限责任公司与乙公司签订房屋租赁合同，准备把案涉房屋经营为连锁超市。双方未办理房屋租赁登记备案。合同约定租期 25 年，甲公司负有接收房屋、进场装修并持续经营等义务。履行开始前，甲公司因经营计划调整明确表示不再承租，乙公司遂请求法院判令甲公司接收房屋并按合同继续经营。
请回答：该租赁合同是否因未备案或租期 25 年而全部无效？乙公司要求强制甲公司接收房屋、进场并继续经营的请求能否得到支持？</x:v>
      </x:c>
      <x:c r="J23" s="60" t="str">
        <x:v>1. 未办理租赁登记备案是否影响合同效力？
2. 25 年租期应如何认定效力？
3. 接收房屋、进场装修和持续经营是否适于强制履行？</x:v>
      </x:c>
      <x:c r="K23" s="60" t="str">
        <x:v>登记备案不是房屋租赁合同的生效要件；约定租期超过 20 年的，仅超过部分无效。乙公司不能强制甲公司接收、进场并经营，因为此类非金钱义务的标的不适于强制履行；乙公司仍可依法主张解除、损害赔偿等其他救济。</x:v>
      </x:c>
      <x:c r="L23" s="60" t="str">
        <x:v>1. 未登记备案原则上不影响租赁合同效力。
2. 租赁期限不得超过二十年，超过部分无效。
3. 继续履行是违约救济之一，但需排除不能履行、费用过高或不适宜强制履行等例外。</x:v>
      </x:c>
      <x:c r="M23" s="60" t="str">
        <x:v>把未备案直接写成合同无效。</x:v>
      </x:c>
      <x:c r="N23" s="60" t="str">
        <x:v>已核验</x:v>
      </x:c>
      <x:c r="O23" s="60" t="str">
        <x:v>公开账号·已核验</x:v>
      </x:c>
      <x:c r="P23" s="60" t="str">
        <x:v>https://www.sina.cn/media/2342740757</x:v>
      </x:c>
      <x:c r="Q23" s="60" t="str">
        <x:v>https://www.sina.cn/media/2342740757</x:v>
      </x:c>
      <x:c r="R23" s="60" t="str">
        <x:v>2026-08-31</x:v>
      </x:c>
    </x:row>
    <x:row r="24" ht="130" customHeight="1">
      <x:c r="A24" s="60" t="str">
        <x:v>2026-meng-232</x:v>
      </x:c>
      <x:c r="B24" s="61" t="n">
        <x:v>46232</x:v>
      </x:c>
      <x:c r="C24" s="60" t="str">
        <x:v>方圆众合</x:v>
      </x:c>
      <x:c r="D24" s="60" t="str">
        <x:v>孟献贵</x:v>
      </x:c>
      <x:c r="E24" s="60" t="str">
        <x:v>微博公开页（新浪镜像）</x:v>
      </x:c>
      <x:c r="F24" s="60" t="str">
        <x:v>民法</x:v>
      </x:c>
      <x:c r="G24" s="60" t="str">
        <x:v>技术开发合同、情势变更</x:v>
      </x:c>
      <x:c r="H24" s="60" t="str">
        <x:v>案例带写第 232 题｜锅炉改造遇政策变化</x:v>
      </x:c>
      <x:c r="I24" s="60" t="str">
        <x:v>2026 年 3 月 1 日，东方公司与安达股份有限公司签订技术委托开发合同，约定由安达公司改进东方公司现有 3 座中型燃煤锅炉的脱硫技术。安达公司随后组建团队、采购设备和材料，并进驻东方公司施工。4 月 10 日，A 市政府出台新的能源治理政策，要求当地中型燃煤锅炉改用其他清洁能源。该变化使原脱硫改造项目失去继续实施的现实基础，东方公司提出停止项目，双方对已投入费用及后续责任发生争议。
请回答：政府政策变化是否构成情势变更？安达公司能否仅以东方公司停止项目为由请求违约损害赔偿？合同若被变更或解除，已完成工作和合理投入应如何处理？</x:v>
      </x:c>
      <x:c r="J24" s="60" t="str">
        <x:v>1. 政策变化是否发生于合同成立后、履行完毕前，且不可预见并超出商业风险？
2. 继续履行是否对一方明显不公平，适用情势变更应经过何种程序？
3. 情势变更导致合同终止时，违约赔偿与公平清算如何区分？</x:v>
      </x:c>
      <x:c r="K24" s="60" t="str">
        <x:v>政府政策在合同成立后发生，订约时难以预见且不属于通常商业风险，并使继续履行明显不公平的，构成情势变更。当事人应先重新协商；合理期限内协商不成，可请求法院或仲裁机构变更或解除。因情势变更停止履行不等于东方公司当然存在可归责违约，安达公司的合理投入和已完成工作应在合同清算中公平处理。</x:v>
      </x:c>
      <x:c r="L24" s="60" t="str">
        <x:v>1. 情势变更要求基础条件发生订约时无法预见、非商业风险的重大变化。
2. 当事人先重新协商；合理期限内协商不成，法院或仲裁机构可变更或解除。
3. 情势变更是风险再分配机制，不能把无归责性的政策变化机械认定为一方违约。</x:v>
      </x:c>
      <x:c r="M24" s="60" t="str">
        <x:v>把一般成本上涨都认定为情势变更。</x:v>
      </x:c>
      <x:c r="N24" s="60" t="str">
        <x:v>已核验</x:v>
      </x:c>
      <x:c r="O24" s="60" t="str">
        <x:v>公开账号·已核验</x:v>
      </x:c>
      <x:c r="P24" s="60" t="str">
        <x:v>https://www.sina.cn/news/detail/5325922358267970.html</x:v>
      </x:c>
      <x:c r="Q24" s="60" t="str">
        <x:v>https://www.sina.cn/news/detail/5325922358267970.html</x:v>
      </x:c>
      <x:c r="R24" s="60" t="str">
        <x:v>2026-08-31</x:v>
      </x:c>
    </x:row>
    <x:row r="25" ht="230" customHeight="1">
      <x:c r="A25" s="60" t="str">
        <x:v>2026-meng-238</x:v>
      </x:c>
      <x:c r="B25" s="61" t="n">
        <x:v>46244</x:v>
      </x:c>
      <x:c r="C25" s="60" t="str">
        <x:v>方圆众合</x:v>
      </x:c>
      <x:c r="D25" s="60" t="str">
        <x:v>孟献贵</x:v>
      </x:c>
      <x:c r="E25" s="60" t="str">
        <x:v>微博公开页（新浪镜像）</x:v>
      </x:c>
      <x:c r="F25" s="60" t="str">
        <x:v>民法</x:v>
      </x:c>
      <x:c r="G25" s="60" t="str">
        <x:v>合同解除后的返还与违约责任</x:v>
      </x:c>
      <x:c r="H25" s="60" t="str">
        <x:v>案例带写第 238 题｜工抵房合同解除后返还首付款</x:v>
      </x:c>
      <x:c r="I25" s="60" t="str">
        <x:v>2018 年 5 月 5 日，A 建筑公司（以下简称 A 公司）与 B 房地产公司（以下简称 B 公司）签订《建筑施工协议》，约定 B 公司将其开发的某楼盘工程发包给 A 公司施工，部分工程款以建成后的 5 套房屋抵顶，B 公司保证所抵顶房屋销售手续合法有效。2019 年 2 月 22 日，陈某与 A 公司签订《房屋销售合同》，约定陈某购买 B 公司抵给 A 公司的一套 600 平方米房屋，单价 5000 元/平方米，总价 300 万元；合同签订之日起三日内交付首付款 150 万元，余款通过银行按揭方式在 2019 年 9 月 1 日房屋交付使用前支付；房屋销售许可证、银行按揭、产权办理等手续由 B 公司协助陈某办理。合同签订当日，陈某向 A 公司交付首付款 150 万元。
后来 A 公司与 B 公司之间的建设工程施工合同发生纠纷，B 公司未履行抵顶义务，导致陈某无法办理按揭贷款和取得房屋所有权。B 公司于 2019 年 9 月 2 日取得案涉房屋预售许可证，又于 2020 年 7 月将案涉房屋出售给案外人，陈某因此无法取得房屋。陈某向法院起诉，请求：1. 解除其与 A 公司签订的《房屋销售合同》；2. 判令 A 公司返还购房款 150 万元及利息；3. 判令 A 公司与 B 公司连带赔偿房屋增值损失 886.98 万元。
请回答：陈某的第 2 项诉讼请求，即要求 A 公司返还购房款 150 万元及利息，应否得到支持？请说明理由和法律依据。</x:v>
      </x:c>
      <x:c r="J25" s="60" t="str">
        <x:v>1. 陈某与 A 公司的《房屋销售合同》解除后，已支付首付款应如何处理？
2. 返还首付款与请求违约损害赔偿能否并行？
3. 利息损失的请求权基础是什么？</x:v>
      </x:c>
      <x:c r="K25" s="60" t="str">
        <x:v>应当支持。合同解除后，尚未履行的终止履行；已经履行的，当事人可依履行情况和合同性质请求恢复原状或采取其他补救措施，并有权请求赔偿损失。本案因 A 公司不能履行导致陈某合同目的不能实现，陈某解除合同后有权请求 A 公司返还已付首付款及相应利息。法律依据为《民法典》第 566 条。</x:v>
      </x:c>
      <x:c r="L25" s="60" t="str">
        <x:v>1. A 公司未能使陈某取得房屋，且房屋已经另售他人，合同目的无法实现，陈某依法享有解除权。
2. 合同解除产生清算效果；陈某已经支付的 150 万元首付款失去给付基础，应由收款方 A 公司返还。
3. A 公司违约造成的资金占用损失可以利息形式纳入损害赔偿，返还与赔偿并不冲突。</x:v>
      </x:c>
      <x:c r="M25" s="60" t="str">
        <x:v>只写返还不写合同解除后的清算依据，或把返还请求和违约损害赔偿误认为只能择一。</x:v>
      </x:c>
      <x:c r="N25" s="60" t="str">
        <x:v>题目原页已核验·公布答案见教师公开账号归档</x:v>
      </x:c>
      <x:c r="O25" s="60" t="str">
        <x:v>教师原发·公开账号核验</x:v>
      </x:c>
      <x:c r="P25" s="60" t="str">
        <x:v>https://www.sina.cn/news/detail/5330269150380152.html</x:v>
      </x:c>
      <x:c r="Q25" s="60" t="str">
        <x:v>https://www.sina.cn/media/2342740757</x:v>
      </x:c>
      <x:c r="R25" s="60" t="str">
        <x:v>2026-08-31</x:v>
      </x:c>
    </x:row>
    <x:row r="26" ht="130" customHeight="1">
      <x:c r="A26" s="60" t="str">
        <x:v>2026-han-64</x:v>
      </x:c>
      <x:c r="B26" s="61" t="n">
        <x:v>46125</x:v>
      </x:c>
      <x:c r="C26" s="60" t="str">
        <x:v>觉晓法考 / 教师公开账号</x:v>
      </x:c>
      <x:c r="D26" s="60" t="str">
        <x:v>韩心怡</x:v>
      </x:c>
      <x:c r="E26" s="60" t="str">
        <x:v>微博公开页</x:v>
      </x:c>
      <x:c r="F26" s="60" t="str">
        <x:v>民事诉讼法</x:v>
      </x:c>
      <x:c r="G26" s="60" t="str">
        <x:v>执行和解、执行担保</x:v>
      </x:c>
      <x:c r="H26" s="60" t="str">
        <x:v>民诉每日一问 Day 64｜执行和解中的保证人能否被直接执行</x:v>
      </x:c>
      <x:c r="I26" s="60" t="str">
        <x:v>甲申请法院对乙强制执行 100 万元。执行期间，双方达成和解协议，约定乙只返还 90 万元即可，丙作为连带保证人在和解协议上签字。之后乙不履行和解协议。
请回答：此时甲能否申请法院对丙强制执行？请说明理由。</x:v>
      </x:c>
      <x:c r="J26" s="60" t="str">
        <x:v>1. 丙在执行和解协议上签字是否当然构成执行担保？
2. 申请法院直接执行担保人须满足什么条件？
3. 不能直接执行时，甲还能通过什么途径向丙主张责任？</x:v>
      </x:c>
      <x:c r="K26" s="60" t="str">
        <x:v>不能。担保人丙未向法院承诺在被执行人不履行执行和解协议时自愿接受直接强制执行，不构成执行担保，因此不能申请法院直接对丙强制执行；但可以依据和解协议起诉丙，要求其按照约定承担保证责任。</x:v>
      </x:c>
      <x:c r="L26" s="60" t="str">
        <x:v>1. 执行担保要求担保人向人民法院作出担保，并具备自愿接受直接强制执行的明确意思。
2. 丙只在当事人之间的执行和解协议上以连带保证人身份签字，不能据此直接赋予法院对丙的执行力。
3. 甲可以恢复原生效法律文书的执行，或者就执行和解协议另行起诉，并在诉讼中请求丙承担保证责任。</x:v>
      </x:c>
      <x:c r="M26" s="60" t="str">
        <x:v>把民事实体上的保证责任与执行程序中可以直接追加、执行担保人混为一谈。</x:v>
      </x:c>
      <x:c r="N26" s="60" t="str">
        <x:v>题图与公布解析已核验</x:v>
      </x:c>
      <x:c r="O26" s="60" t="str">
        <x:v>教师原发·已核验</x:v>
      </x:c>
      <x:c r="P26" s="60" t="str">
        <x:v>https://weibo.com/u/1905221643?refer_flag=1005050010_</x:v>
      </x:c>
      <x:c r="Q26" s="60" t="str">
        <x:v>https://weibo.com/u/1905221643?refer_flag=1005050010_</x:v>
      </x:c>
      <x:c r="R26" s="60" t="str">
        <x:v>2026-08-31</x:v>
      </x:c>
    </x:row>
    <x:row r="27" ht="130" customHeight="1">
      <x:c r="A27" s="60" t="str">
        <x:v>2026-han-65</x:v>
      </x:c>
      <x:c r="B27" s="61" t="n">
        <x:v>46126</x:v>
      </x:c>
      <x:c r="C27" s="60" t="str">
        <x:v>觉晓法考 / 教师公开账号</x:v>
      </x:c>
      <x:c r="D27" s="60" t="str">
        <x:v>韩心怡</x:v>
      </x:c>
      <x:c r="E27" s="60" t="str">
        <x:v>微博公开页</x:v>
      </x:c>
      <x:c r="F27" s="60" t="str">
        <x:v>民事诉讼法</x:v>
      </x:c>
      <x:c r="G27" s="60" t="str">
        <x:v>变更追加被执行人异议之诉</x:v>
      </x:c>
      <x:c r="H27" s="60" t="str">
        <x:v>民诉每日一问 Day 65｜一人公司股东被追加后的救济</x:v>
      </x:c>
      <x:c r="I27" s="60" t="str">
        <x:v>刘小豆申请法院对心安公司强制执行。心安公司的唯一股东是李小松。刘小豆认为李小松的财产与心安公司财产严重混同，申请法院追加李小松为被执行人。法院裁定准许追加。
请回答：李小松对该追加裁定不服，可以如何救济？</x:v>
      </x:c>
      <x:c r="J27" s="60" t="str">
        <x:v>1. 李小松对追加裁定不服应提执行异议还是异议之诉？
2. 该诉讼由谁作为原告、被告？
3. 诉讼中证明公司财产独立的责任如何分配？</x:v>
      </x:c>
      <x:c r="K27" s="60" t="str">
        <x:v>李小松可以提起变更、追加异议之诉；李小松是原告，刘小豆是被告。</x:v>
      </x:c>
      <x:c r="L27" s="60" t="str">
        <x:v>1. 被追加为被执行人的主体对追加裁定不服，且争议涉及是否应承担实体清偿责任，应依法提起变更、追加被执行人异议之诉。
2. 被追加人李小松作为原告，申请执行人刘小豆作为被告；被执行人心安公司可依其态度确定诉讼地位。
3. 一人公司股东应就公司财产独立于自己财产承担相应证明责任。</x:v>
      </x:c>
      <x:c r="M27" s="60" t="str">
        <x:v>只写向上级法院复议，遗漏法律规定的变更、追加异议之诉。</x:v>
      </x:c>
      <x:c r="N27" s="60" t="str">
        <x:v>题图与公布解析已核验</x:v>
      </x:c>
      <x:c r="O27" s="60" t="str">
        <x:v>教师原发·已核验</x:v>
      </x:c>
      <x:c r="P27" s="60" t="str">
        <x:v>https://weibo.com/u/1905221643?refer_flag=1005050010_</x:v>
      </x:c>
      <x:c r="Q27" s="60" t="str">
        <x:v>https://weibo.com/u/1905221643?refer_flag=1005050010_</x:v>
      </x:c>
      <x:c r="R27" s="60" t="str">
        <x:v>2026-08-31</x:v>
      </x:c>
    </x:row>
    <x:row r="28" ht="130" customHeight="1">
      <x:c r="A28" s="60" t="str">
        <x:v>2026-han-66</x:v>
      </x:c>
      <x:c r="B28" s="61" t="n">
        <x:v>46127</x:v>
      </x:c>
      <x:c r="C28" s="60" t="str">
        <x:v>觉晓法考 / 教师公开账号</x:v>
      </x:c>
      <x:c r="D28" s="60" t="str">
        <x:v>韩心怡</x:v>
      </x:c>
      <x:c r="E28" s="60" t="str">
        <x:v>微博公开页</x:v>
      </x:c>
      <x:c r="F28" s="60" t="str">
        <x:v>民事诉讼法</x:v>
      </x:c>
      <x:c r="G28" s="60" t="str">
        <x:v>代位执行、第三人异议</x:v>
      </x:c>
      <x:c r="H28" s="60" t="str">
        <x:v>民诉每日一问 Day 66｜次债务人异议后的代位执行</x:v>
      </x:c>
      <x:c r="I28" s="60" t="str">
        <x:v>法院判决乙向甲返还借款 10 万元。甲申请强制执行，执行过程中发现乙没有财产可供执行，但乙对丙享有 10 万元到期债权。甲申请法院向丙发出履行到期债务通知。丙收到通知后向法院提出异议，称该欠款已经清偿。
请回答：此时法院能否对丙强制执行？</x:v>
      </x:c>
      <x:c r="J28" s="60" t="str">
        <x:v>1. 丙提出的异议是程序异议还是实体异议？
2. 次债务人提出实体异议后，执行法院能否实质审查并继续执行？
3. 甲如认为异议不成立，应另行采取何种救济？</x:v>
      </x:c>
      <x:c r="K28" s="60" t="str">
        <x:v>不能。第三人丙提出异议后，法院不得对丙强制执行，代位执行程序失败。</x:v>
      </x:c>
      <x:c r="L28" s="60" t="str">
        <x:v>1. 到期债权执行以第三人没有提出有效异议为前提。
2. 丙主张债务已经清偿，属于对债权存在与否的实体异议；执行程序不能直接审理该实体争议。
3. 法院不得继续对丙强制执行，甲可通过代位权诉讼等实体程序解决。</x:v>
      </x:c>
      <x:c r="M28" s="60" t="str">
        <x:v>认为法院可以在执行程序中直接判定丙的清偿抗辩真伪。</x:v>
      </x:c>
      <x:c r="N28" s="60" t="str">
        <x:v>题图与公布解析已核验</x:v>
      </x:c>
      <x:c r="O28" s="60" t="str">
        <x:v>教师原发·已核验</x:v>
      </x:c>
      <x:c r="P28" s="60" t="str">
        <x:v>https://weibo.com/u/1905221643?refer_flag=1005050010_</x:v>
      </x:c>
      <x:c r="Q28" s="60" t="str">
        <x:v>https://weibo.com/u/1905221643?refer_flag=1005050010_</x:v>
      </x:c>
      <x:c r="R28" s="60" t="str">
        <x:v>2026-08-31</x:v>
      </x:c>
    </x:row>
    <x:row r="29" ht="130" customHeight="1">
      <x:c r="A29" s="60" t="str">
        <x:v>2026-han-67</x:v>
      </x:c>
      <x:c r="B29" s="61" t="n">
        <x:v>46128</x:v>
      </x:c>
      <x:c r="C29" s="60" t="str">
        <x:v>觉晓法考 / 教师公开账号</x:v>
      </x:c>
      <x:c r="D29" s="60" t="str">
        <x:v>韩心怡</x:v>
      </x:c>
      <x:c r="E29" s="60" t="str">
        <x:v>微博公开页</x:v>
      </x:c>
      <x:c r="F29" s="60" t="str">
        <x:v>民事诉讼法</x:v>
      </x:c>
      <x:c r="G29" s="60" t="str">
        <x:v>共有财产析产路径</x:v>
      </x:c>
      <x:c r="H29" s="60" t="str">
        <x:v>民诉每日一问 Day 67｜执行共有财产时的三条析产路径</x:v>
      </x:c>
      <x:c r="I29" s="60" t="str">
        <x:v>执行程序中发现，拟执行的财产属于被执行人与他人共有。
请回答：析产的路径有哪些？请分别简述。</x:v>
      </x:c>
      <x:c r="J29" s="60" t="str">
        <x:v>1. 共有人协议分割如何进入执行程序？
2. 共有人能否主动提起析产诉讼？
3. 申请执行人在什么条件下可以代位提起析产诉讼？</x:v>
      </x:c>
      <x:c r="K29" s="60" t="str">
        <x:v>析产有三条路径：1. 共有人达成分割协议并经债权人认可；2. 共有人提起析产诉讼；3. 申请执行人代位提起析产诉讼。</x:v>
      </x:c>
      <x:c r="L29" s="60" t="str">
        <x:v>1. 共有人可以协议分割，但该协议影响执行债权时应经申请执行人认可，避免通过分割逃避执行。
2. 任一共有人可以提起析产诉讼，由法院确定共有物的分割方式与份额。
3. 被执行人怠于行使析产权利、影响债权实现时，申请执行人可依法代位提起析产诉讼。</x:v>
      </x:c>
      <x:c r="M29" s="60" t="str">
        <x:v>认为执行法院可以不经析产直接处分共有财产的全部。</x:v>
      </x:c>
      <x:c r="N29" s="60" t="str">
        <x:v>题图与公布解析已核验</x:v>
      </x:c>
      <x:c r="O29" s="60" t="str">
        <x:v>教师原发·已核验</x:v>
      </x:c>
      <x:c r="P29" s="60" t="str">
        <x:v>https://weibo.com/u/1905221643?refer_flag=1005050010_</x:v>
      </x:c>
      <x:c r="Q29" s="60" t="str">
        <x:v>https://weibo.com/u/1905221643?refer_flag=1005050010_</x:v>
      </x:c>
      <x:c r="R29" s="60" t="str">
        <x:v>2026-08-31</x:v>
      </x:c>
    </x:row>
    <x:row r="30" ht="130" customHeight="1">
      <x:c r="A30" s="60" t="str">
        <x:v>2026-han-68</x:v>
      </x:c>
      <x:c r="B30" s="61" t="n">
        <x:v>46129</x:v>
      </x:c>
      <x:c r="C30" s="60" t="str">
        <x:v>觉晓法考 / 教师公开账号</x:v>
      </x:c>
      <x:c r="D30" s="60" t="str">
        <x:v>韩心怡</x:v>
      </x:c>
      <x:c r="E30" s="60" t="str">
        <x:v>微博公开页</x:v>
      </x:c>
      <x:c r="F30" s="60" t="str">
        <x:v>民事诉讼法</x:v>
      </x:c>
      <x:c r="G30" s="60" t="str">
        <x:v>执行行为异议、执行标的异议</x:v>
      </x:c>
      <x:c r="H30" s="60" t="str">
        <x:v>民诉每日一问 Day 68｜两类执行异议的主体与管辖</x:v>
      </x:c>
      <x:c r="I30" s="60" t="str">
        <x:v>请分别回答：
1. 提出执行行为异议的主体和提出执行标的异议的主体有何不同？
2. 执行行为异议和执行标的异议的管辖法院有无不同？</x:v>
      </x:c>
      <x:c r="J30" s="60" t="str">
        <x:v>1. 哪些主体可以提出执行行为异议？
2. 谁有资格提出执行标的异议？
3. 两类异议分别由哪一法院审查？</x:v>
      </x:c>
      <x:c r="K30" s="60" t="str">
        <x:v>1. 当事人和利害关系人都可以提出执行行为异议；只有案外人才能提出执行标的异议。2. 两类异议的管辖法院没有不同，均为执行法院。</x:v>
      </x:c>
      <x:c r="L30" s="60" t="str">
        <x:v>1. 执行行为异议针对执行措施或程序违法，申请主体包括当事人和利害关系人。
2. 执行标的异议针对案外人对被执行财产主张足以排除执行的实体权利，提出主体是案外人。
3. 两类异议均向负责执行的法院提出，但后续救济路径并不相同。</x:v>
      </x:c>
      <x:c r="M30" s="60" t="str">
        <x:v>混淆利害关系人与案外人，或者认为执行标的异议直接向执行法院以外的法院起诉。</x:v>
      </x:c>
      <x:c r="N30" s="60" t="str">
        <x:v>题图与公布解析已核验</x:v>
      </x:c>
      <x:c r="O30" s="60" t="str">
        <x:v>教师原发·已核验</x:v>
      </x:c>
      <x:c r="P30" s="60" t="str">
        <x:v>https://weibo.com/u/1905221643?refer_flag=1005050010_</x:v>
      </x:c>
      <x:c r="Q30" s="60" t="str">
        <x:v>https://weibo.com/u/1905221643?refer_flag=1005050010_</x:v>
      </x:c>
      <x:c r="R30" s="60" t="str">
        <x:v>2026-08-31</x:v>
      </x:c>
    </x:row>
    <x:row r="31" ht="130" customHeight="1">
      <x:c r="A31" s="60" t="str">
        <x:v>2026-han-69</x:v>
      </x:c>
      <x:c r="B31" s="61" t="n">
        <x:v>46130</x:v>
      </x:c>
      <x:c r="C31" s="60" t="str">
        <x:v>觉晓法考 / 教师公开账号</x:v>
      </x:c>
      <x:c r="D31" s="60" t="str">
        <x:v>韩心怡</x:v>
      </x:c>
      <x:c r="E31" s="60" t="str">
        <x:v>微博公开页</x:v>
      </x:c>
      <x:c r="F31" s="60" t="str">
        <x:v>民事诉讼法</x:v>
      </x:c>
      <x:c r="G31" s="60" t="str">
        <x:v>申请执行人执行异议之诉</x:v>
      </x:c>
      <x:c r="H31" s="60" t="str">
        <x:v>民诉每日一问 Day 69｜案外人异议成立后申请执行人的救济</x:v>
      </x:c>
      <x:c r="I31" s="60" t="str">
        <x:v>易某依据生效判决，申请法院强制执行王某应向其支付的 5 万元损害赔偿金。执行中，法院扣押了王某的一套玉器。案外人谢某提出异议，称该玉器是其借给王某使用的，所有权属于自己。法院审查后认为谢某异议理由成立，裁定中止对该财产的执行。
请回答：此时易某有何救济途径？</x:v>
      </x:c>
      <x:c r="J31" s="60" t="str">
        <x:v>1. 易某应提起申请执行人执行异议之诉还是复议？
2. 该诉讼中谁是原告、被告？
3. 王某在诉讼中的地位如何确定？</x:v>
      </x:c>
      <x:c r="K31" s="60" t="str">
        <x:v>易某可以提起申请执行人执行异议之诉；易某是原告，谢某是被告，王某的诉讼地位视其态度而定。</x:v>
      </x:c>
      <x:c r="L31" s="60" t="str">
        <x:v>1. 案外人异议成立并中止执行后，申请执行人认为案外人权利不足以排除执行的，可依法提起申请执行人执行异议之诉。
2. 申请执行人易某为原告，案外人谢某为被告。
3. 被执行人王某反对易某请求的，作为共同被告；不反对的，可以列为第三人。</x:v>
      </x:c>
      <x:c r="M31" s="60" t="str">
        <x:v>把案外人执行异议之诉与申请执行人执行异议之诉的原被告方向写反。</x:v>
      </x:c>
      <x:c r="N31" s="60" t="str">
        <x:v>题图与公布解析已核验</x:v>
      </x:c>
      <x:c r="O31" s="60" t="str">
        <x:v>教师原发·已核验</x:v>
      </x:c>
      <x:c r="P31" s="60" t="str">
        <x:v>https://weibo.com/u/1905221643?refer_flag=1005050010_</x:v>
      </x:c>
      <x:c r="Q31" s="60" t="str">
        <x:v>https://weibo.com/u/1905221643?refer_flag=1005050010_</x:v>
      </x:c>
      <x:c r="R31" s="60" t="str">
        <x:v>2026-08-31</x:v>
      </x:c>
    </x:row>
    <x:row r="32" ht="130" customHeight="1">
      <x:c r="A32" s="60" t="str">
        <x:v>2026-han-70</x:v>
      </x:c>
      <x:c r="B32" s="61" t="n">
        <x:v>46131</x:v>
      </x:c>
      <x:c r="C32" s="60" t="str">
        <x:v>觉晓法考 / 教师公开账号</x:v>
      </x:c>
      <x:c r="D32" s="60" t="str">
        <x:v>韩心怡</x:v>
      </x:c>
      <x:c r="E32" s="60" t="str">
        <x:v>微博公开页</x:v>
      </x:c>
      <x:c r="F32" s="60" t="str">
        <x:v>民事诉讼法</x:v>
      </x:c>
      <x:c r="G32" s="60" t="str">
        <x:v>仲裁协议效力、仲裁机构约定</x:v>
      </x:c>
      <x:c r="H32" s="60" t="str">
        <x:v>民诉每日一问 Day 70｜约定县仲裁委的仲裁条款是否有效</x:v>
      </x:c>
      <x:c r="I32" s="60" t="str">
        <x:v>甲与乙签订一份大闸蟹买卖合同，同时约定：合同履行过程中发生纠纷，提交 A 县仲裁委员会解决。甲收到乙提供的 50 盒“大闸蟹”后，认为其中并非大闸蟹，而只是不值钱的水晶蟹。
请回答：甲能否通过仲裁解决该纠纷？</x:v>
      </x:c>
      <x:c r="J32" s="60" t="str">
        <x:v>1. 仲裁协议对仲裁委员会的约定应达到何种明确程度？
2. A 县不存在仲裁委员会时，能否据约定确定唯一仲裁机构？
3. 仲裁协议无效后当事人应如何解决实体争议？</x:v>
      </x:c>
      <x:c r="K32" s="60" t="str">
        <x:v>不能。双方达成的仲裁协议无效，因为县不存在仲裁委员会。</x:v>
      </x:c>
      <x:c r="L32" s="60" t="str">
        <x:v>1. 仲裁协议应当包含明确的仲裁意思表示、仲裁事项和选定的仲裁委员会。
2. 当事人约定的 A 县仲裁委员会客观不存在，且不能据此确定唯一仲裁机构；无法达成补充协议时，仲裁协议无效。
3. 任何一方均不能依据该条款单方启动仲裁，可以依法向有管辖权的法院起诉。</x:v>
      </x:c>
      <x:c r="M32" s="60" t="str">
        <x:v>认为写了‘仲裁’二字即当然排除法院管辖。</x:v>
      </x:c>
      <x:c r="N32" s="60" t="str">
        <x:v>题图与公布解析已核验</x:v>
      </x:c>
      <x:c r="O32" s="60" t="str">
        <x:v>教师原发·已核验</x:v>
      </x:c>
      <x:c r="P32" s="60" t="str">
        <x:v>https://weibo.com/u/1905221643?refer_flag=1005050010_</x:v>
      </x:c>
      <x:c r="Q32" s="60" t="str">
        <x:v>https://weibo.com/u/1905221643?refer_flag=1005050010_</x:v>
      </x:c>
      <x:c r="R32" s="60" t="str">
        <x:v>2026-08-31</x:v>
      </x:c>
    </x:row>
  </x:sheetData>
  <x:mergeCells>
    <x:mergeCell ref="A1:R1"/>
    <x:mergeCell ref="A2:R2"/>
  </x:mergeCells>
  <x:pageMargins left="0.7" right="0.7" top="0.75" bottom="0.75" header="0.3" footer="0.3"/>
  <x:tableParts count="1">
    <x:tablePart xmlns:r="http://schemas.openxmlformats.org/officeDocument/2006/relationships" r:id="R9b3f62e1000647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31" hidden="0" customWidth="1"/>
    <x:col min="3" max="3" width="10" hidden="0" customWidth="1"/>
    <x:col min="4" max="4" width="18" hidden="0" customWidth="1"/>
    <x:col min="5" max="5" width="27" hidden="0" customWidth="1"/>
    <x:col min="6" max="6" width="48" hidden="0" customWidth="1"/>
    <x:col min="7" max="7" width="54" hidden="0" customWidth="1"/>
    <x:col min="8" max="8" width="22" hidden="0" customWidth="1"/>
    <x:col min="9" max="9" width="36" hidden="0" customWidth="1"/>
    <x:col min="10" max="10" width="36" hidden="0" customWidth="1"/>
    <x:col min="11" max="11" width="42" hidden="0" customWidth="1"/>
  </x:cols>
  <x:sheetData>
    <x:row r="1" ht="34" customHeight="1">
      <x:c r="A1" s="3" t="str">
        <x:v>2016—2025 主观题真题｜分题索引</x:v>
      </x:c>
      <x:c r="B1" s="3" t="str">
        <x:v>2016—2025 主观题真题｜分题索引</x:v>
      </x:c>
      <x:c r="C1" s="3" t="str">
        <x:v>2016—2025 主观题真题｜分题索引</x:v>
      </x:c>
      <x:c r="D1" s="3" t="str">
        <x:v>2016—2025 主观题真题｜分题索引</x:v>
      </x:c>
      <x:c r="E1" s="3" t="str">
        <x:v>2016—2025 主观题真题｜分题索引</x:v>
      </x:c>
      <x:c r="F1" s="3" t="str">
        <x:v>2016—2025 主观题真题｜分题索引</x:v>
      </x:c>
      <x:c r="G1" s="3" t="str">
        <x:v>2016—2025 主观题真题｜分题索引</x:v>
      </x:c>
      <x:c r="H1" s="3" t="str">
        <x:v>2016—2025 主观题真题｜分题索引</x:v>
      </x:c>
      <x:c r="I1" s="3" t="str">
        <x:v>2016—2025 主观题真题｜分题索引</x:v>
      </x:c>
      <x:c r="J1" s="3" t="str">
        <x:v>2016—2025 主观题真题｜分题索引</x:v>
      </x:c>
      <x:c r="K1" s="3" t="str">
        <x:v>2016—2025 主观题真题｜分题索引</x:v>
      </x:c>
    </x:row>
    <x:row r="2" ht="30" customHeight="1">
      <x:c r="A2" s="7" t="str">
        <x:v>2016—2017 为官方公开；2018—2025 为公开回忆版，摘要不替代完整题面</x:v>
      </x:c>
      <x:c r="B2" s="7" t="str">
        <x:v>2016—2017 为官方公开；2018—2025 为公开回忆版，摘要不替代完整题面</x:v>
      </x:c>
      <x:c r="C2" s="7" t="str">
        <x:v>2016—2017 为官方公开；2018—2025 为公开回忆版，摘要不替代完整题面</x:v>
      </x:c>
      <x:c r="D2" s="7" t="str">
        <x:v>2016—2017 为官方公开；2018—2025 为公开回忆版，摘要不替代完整题面</x:v>
      </x:c>
      <x:c r="E2" s="7" t="str">
        <x:v>2016—2017 为官方公开；2018—2025 为公开回忆版，摘要不替代完整题面</x:v>
      </x:c>
      <x:c r="F2" s="7" t="str">
        <x:v>2016—2017 为官方公开；2018—2025 为公开回忆版，摘要不替代完整题面</x:v>
      </x:c>
      <x:c r="G2" s="7" t="str">
        <x:v>2016—2017 为官方公开；2018—2025 为公开回忆版，摘要不替代完整题面</x:v>
      </x:c>
      <x:c r="H2" s="7" t="str">
        <x:v>2016—2017 为官方公开；2018—2025 为公开回忆版，摘要不替代完整题面</x:v>
      </x:c>
      <x:c r="I2" s="7" t="str">
        <x:v>2016—2017 为官方公开；2018—2025 为公开回忆版，摘要不替代完整题面</x:v>
      </x:c>
      <x:c r="J2" s="7" t="str">
        <x:v>2016—2017 为官方公开；2018—2025 为公开回忆版，摘要不替代完整题面</x:v>
      </x:c>
      <x:c r="K2" s="7" t="str">
        <x:v>2016—2017 为官方公开；2018—2025 为公开回忆版，摘要不替代完整题面</x:v>
      </x:c>
    </x:row>
    <x:row r="3" ht="28" customHeight="1">
      <x:c r="A3" s="56" t="str">
        <x:v>年份</x:v>
      </x:c>
      <x:c r="B3" s="56" t="str">
        <x:v>考试名称</x:v>
      </x:c>
      <x:c r="C3" s="56" t="str">
        <x:v>题号</x:v>
      </x:c>
      <x:c r="D3" s="56" t="str">
        <x:v>科目</x:v>
      </x:c>
      <x:c r="E3" s="56" t="str">
        <x:v>争点</x:v>
      </x:c>
      <x:c r="F3" s="56" t="str">
        <x:v>题面摘要</x:v>
      </x:c>
      <x:c r="G3" s="56" t="str">
        <x:v>答案/作答主线</x:v>
      </x:c>
      <x:c r="H3" s="56" t="str">
        <x:v>可信度</x:v>
      </x:c>
      <x:c r="I3" s="56" t="str">
        <x:v>题目来源</x:v>
      </x:c>
      <x:c r="J3" s="56" t="str">
        <x:v>答案来源</x:v>
      </x:c>
      <x:c r="K3" s="56" t="str">
        <x:v>卷别说明</x:v>
      </x:c>
    </x:row>
    <x:row r="4" ht="54" customHeight="1">
      <x:c r="A4" s="60" t="n">
        <x:v>2016</x:v>
      </x:c>
      <x:c r="B4" s="60" t="str">
        <x:v>2016 年国家司法考试试卷四</x:v>
      </x:c>
      <x:c r="C4" s="60" t="str">
        <x:v>一</x:v>
      </x:c>
      <x:c r="D4" s="60" t="str">
        <x:v>习近平法治思想/法理</x:v>
      </x:c>
      <x:c r="E4" s="60" t="str">
        <x:v>法律面前人人平等、严格司法</x:v>
      </x:c>
      <x:c r="F4" s="60" t="str">
        <x:v>结合材料论述法律面前人人平等及严格司法对公平正义的保障。</x:v>
      </x:c>
      <x:c r="G4" s="60" t="str">
        <x:v>围绕平等适用法律、司法权依法独立公正行使、以事实为根据以法律为准绳、程序公正与裁判公信展开。</x:v>
      </x:c>
      <x:c r="H4" s="60" t="str">
        <x:v>官方公布</x:v>
      </x:c>
      <x:c r="I4" s="60" t="str">
        <x:v>https://edu.people.com.cn/n1/2016/0926/c1053-28739783.html</x:v>
      </x:c>
      <x:c r="J4" s="60" t="str">
        <x:v>https://www.eol.cn/hang_kao/si_fa/shi_fa_zn/news/201609/t20160921_1451029_7.shtml</x:v>
      </x:c>
      <x:c r="K4" s="60" t="str">
        <x:v>官方题目经权威媒体转发；本库仅作结构化摘要，原页面注明未经许可不得转载。</x:v>
      </x:c>
    </x:row>
    <x:row r="5" ht="54" customHeight="1">
      <x:c r="A5" s="60" t="n">
        <x:v>2016</x:v>
      </x:c>
      <x:c r="B5" s="60" t="str">
        <x:v>2016 年国家司法考试试卷四</x:v>
      </x:c>
      <x:c r="C5" s="60" t="str">
        <x:v>二</x:v>
      </x:c>
      <x:c r="D5" s="60" t="str">
        <x:v>刑法</x:v>
      </x:c>
      <x:c r="E5" s="60" t="str">
        <x:v>错误认识、因果关系、犯罪形态</x:v>
      </x:c>
      <x:c r="F5" s="60" t="str">
        <x:v>围绕扣押画作、行为人误以为被害人死亡而掩埋、后续救助等连续事实分析刑事责任。</x:v>
      </x:c>
      <x:c r="G5" s="60" t="str">
        <x:v>逐行为、逐主体分析故意内容，区分对象或因果进程错误，评价前后行为的罪数、未遂既遂和介入因素。</x:v>
      </x:c>
      <x:c r="H5" s="60" t="str">
        <x:v>官方公布</x:v>
      </x:c>
      <x:c r="I5" s="60" t="str">
        <x:v>https://edu.people.com.cn/n1/2016/0926/c1053-28739783.html</x:v>
      </x:c>
      <x:c r="J5" s="60" t="str">
        <x:v>https://www.eol.cn/hang_kao/si_fa/shi_fa_zn/news/201609/t20160921_1451029_7.shtml</x:v>
      </x:c>
      <x:c r="K5" s="60" t="str">
        <x:v>官方题目经权威媒体转发；本库仅作结构化摘要，原页面注明未经许可不得转载。</x:v>
      </x:c>
    </x:row>
    <x:row r="6" ht="54" customHeight="1">
      <x:c r="A6" s="60" t="n">
        <x:v>2016</x:v>
      </x:c>
      <x:c r="B6" s="60" t="str">
        <x:v>2016 年国家司法考试试卷四</x:v>
      </x:c>
      <x:c r="C6" s="60" t="str">
        <x:v>三</x:v>
      </x:c>
      <x:c r="D6" s="60" t="str">
        <x:v>刑事诉讼法</x:v>
      </x:c>
      <x:c r="E6" s="60" t="str">
        <x:v>侦查、证据与程序救济</x:v>
      </x:c>
      <x:c r="F6" s="60" t="str">
        <x:v>综合侦查取证、强制措施和审判程序事实判断程序是否合法。</x:v>
      </x:c>
      <x:c r="G6" s="60" t="str">
        <x:v>按主体权限、期限、告知与救济、证据取得合法性分别审查，结论后写明排除或补救方式。</x:v>
      </x:c>
      <x:c r="H6" s="60" t="str">
        <x:v>官方公布</x:v>
      </x:c>
      <x:c r="I6" s="60" t="str">
        <x:v>https://edu.people.com.cn/n1/2016/0926/c1053-28739783.html</x:v>
      </x:c>
      <x:c r="J6" s="60" t="str">
        <x:v>https://www.eol.cn/hang_kao/si_fa/shi_fa_zn/news/201609/t20160921_1451029_7.shtml</x:v>
      </x:c>
      <x:c r="K6" s="60" t="str">
        <x:v>官方题目经权威媒体转发；本库仅作结构化摘要，原页面注明未经许可不得转载。</x:v>
      </x:c>
    </x:row>
    <x:row r="7" ht="54" customHeight="1">
      <x:c r="A7" s="60" t="n">
        <x:v>2016</x:v>
      </x:c>
      <x:c r="B7" s="60" t="str">
        <x:v>2016 年国家司法考试试卷四</x:v>
      </x:c>
      <x:c r="C7" s="60" t="str">
        <x:v>四</x:v>
      </x:c>
      <x:c r="D7" s="60" t="str">
        <x:v>民法</x:v>
      </x:c>
      <x:c r="E7" s="60" t="str">
        <x:v>合同、担保与物权变动</x:v>
      </x:c>
      <x:c r="F7" s="60" t="str">
        <x:v>在多方交易关系中识别合同效力、物权变动和担保责任。</x:v>
      </x:c>
      <x:c r="G7" s="60" t="str">
        <x:v>先画法律关系图，再按合同效力—履行抗辩—担保从属性—物权公示顺序作答。</x:v>
      </x:c>
      <x:c r="H7" s="60" t="str">
        <x:v>官方公布</x:v>
      </x:c>
      <x:c r="I7" s="60" t="str">
        <x:v>https://edu.people.com.cn/n1/2016/0926/c1053-28739783.html</x:v>
      </x:c>
      <x:c r="J7" s="60" t="str">
        <x:v>https://www.eol.cn/hang_kao/si_fa/shi_fa_zn/news/201609/t20160921_1451029_7.shtml</x:v>
      </x:c>
      <x:c r="K7" s="60" t="str">
        <x:v>官方题目经权威媒体转发；本库仅作结构化摘要，原页面注明未经许可不得转载。</x:v>
      </x:c>
    </x:row>
    <x:row r="8" ht="54" customHeight="1">
      <x:c r="A8" s="60" t="n">
        <x:v>2016</x:v>
      </x:c>
      <x:c r="B8" s="60" t="str">
        <x:v>2016 年国家司法考试试卷四</x:v>
      </x:c>
      <x:c r="C8" s="60" t="str">
        <x:v>五</x:v>
      </x:c>
      <x:c r="D8" s="60" t="str">
        <x:v>商法</x:v>
      </x:c>
      <x:c r="E8" s="60" t="str">
        <x:v>公司治理与股东责任</x:v>
      </x:c>
      <x:c r="F8" s="60" t="str">
        <x:v>围绕公司决议、出资与对外交易分析公司及股东责任。</x:v>
      </x:c>
      <x:c r="G8" s="60" t="str">
        <x:v>区分内部决议效力与外部交易效力，审查代表权限、善意相对人和股东出资责任。</x:v>
      </x:c>
      <x:c r="H8" s="60" t="str">
        <x:v>官方公布</x:v>
      </x:c>
      <x:c r="I8" s="60" t="str">
        <x:v>https://edu.people.com.cn/n1/2016/0926/c1053-28739783.html</x:v>
      </x:c>
      <x:c r="J8" s="60" t="str">
        <x:v>https://www.eol.cn/hang_kao/si_fa/shi_fa_zn/news/201609/t20160921_1451029_7.shtml</x:v>
      </x:c>
      <x:c r="K8" s="60" t="str">
        <x:v>官方题目经权威媒体转发；本库仅作结构化摘要，原页面注明未经许可不得转载。</x:v>
      </x:c>
    </x:row>
    <x:row r="9" ht="54" customHeight="1">
      <x:c r="A9" s="60" t="n">
        <x:v>2016</x:v>
      </x:c>
      <x:c r="B9" s="60" t="str">
        <x:v>2016 年国家司法考试试卷四</x:v>
      </x:c>
      <x:c r="C9" s="60" t="str">
        <x:v>六</x:v>
      </x:c>
      <x:c r="D9" s="60" t="str">
        <x:v>民事诉讼法</x:v>
      </x:c>
      <x:c r="E9" s="60" t="str">
        <x:v>当事人、管辖、证明责任</x:v>
      </x:c>
      <x:c r="F9" s="60" t="str">
        <x:v>在复杂民事纠纷中判断当事人、管辖、证明责任和裁判方式。</x:v>
      </x:c>
      <x:c r="G9" s="60" t="str">
        <x:v>先处理程序门槛，再分配证明责任；实体结论与程序结论分段书写。</x:v>
      </x:c>
      <x:c r="H9" s="60" t="str">
        <x:v>官方公布</x:v>
      </x:c>
      <x:c r="I9" s="60" t="str">
        <x:v>https://edu.people.com.cn/n1/2016/0926/c1053-28739783.html</x:v>
      </x:c>
      <x:c r="J9" s="60" t="str">
        <x:v>https://www.eol.cn/hang_kao/si_fa/shi_fa_zn/news/201609/t20160921_1451029_7.shtml</x:v>
      </x:c>
      <x:c r="K9" s="60" t="str">
        <x:v>官方题目经权威媒体转发；本库仅作结构化摘要，原页面注明未经许可不得转载。</x:v>
      </x:c>
    </x:row>
    <x:row r="10" ht="54" customHeight="1">
      <x:c r="A10" s="60" t="n">
        <x:v>2016</x:v>
      </x:c>
      <x:c r="B10" s="60" t="str">
        <x:v>2016 年国家司法考试试卷四</x:v>
      </x:c>
      <x:c r="C10" s="60" t="str">
        <x:v>七</x:v>
      </x:c>
      <x:c r="D10" s="60" t="str">
        <x:v>行政法</x:v>
      </x:c>
      <x:c r="E10" s="60" t="str">
        <x:v>行政行为合法性与救济</x:v>
      </x:c>
      <x:c r="F10" s="60" t="str">
        <x:v>围绕行政许可或处罚争议判断主体、程序、复议诉讼与裁判。</x:v>
      </x:c>
      <x:c r="G10" s="60" t="str">
        <x:v>以被诉行政行为为中心，依主体权限、事实证据、法律适用、法定程序、裁量审查五步展开。</x:v>
      </x:c>
      <x:c r="H10" s="60" t="str">
        <x:v>官方公布</x:v>
      </x:c>
      <x:c r="I10" s="60" t="str">
        <x:v>https://edu.people.com.cn/n1/2016/0926/c1053-28739783.html</x:v>
      </x:c>
      <x:c r="J10" s="60" t="str">
        <x:v>https://www.eol.cn/hang_kao/si_fa/shi_fa_zn/news/201609/t20160921_1451029_7.shtml</x:v>
      </x:c>
      <x:c r="K10" s="60" t="str">
        <x:v>官方题目经权威媒体转发；本库仅作结构化摘要，原页面注明未经许可不得转载。</x:v>
      </x:c>
    </x:row>
    <x:row r="11" ht="54" customHeight="1">
      <x:c r="A11" s="60" t="n">
        <x:v>2017</x:v>
      </x:c>
      <x:c r="B11" s="60" t="str">
        <x:v>2017 年国家司法考试试卷四</x:v>
      </x:c>
      <x:c r="C11" s="60" t="str">
        <x:v>一</x:v>
      </x:c>
      <x:c r="D11" s="60" t="str">
        <x:v>习近平法治思想/法理</x:v>
      </x:c>
      <x:c r="E11" s="60" t="str">
        <x:v>天理、国法、人情与司法公正</x:v>
      </x:c>
      <x:c r="F11" s="60" t="str">
        <x:v>围绕裁判如何兼顾法律效果、社会效果和公众认同展开论述。</x:v>
      </x:c>
      <x:c r="G11" s="60" t="str">
        <x:v>坚持依法裁判是前提，通过释法说理、程序参与和价值衡量实现政治效果、法律效果、社会效果统一。</x:v>
      </x:c>
      <x:c r="H11" s="60" t="str">
        <x:v>官方公布</x:v>
      </x:c>
      <x:c r="I11" s="60" t="str">
        <x:v>https://www.moj.gov.cn/jgsz/jgszzsdw/zsdwgjsfkszx/gjsfkskskt/201805/t20180510_172368.html</x:v>
      </x:c>
      <x:c r="J11" s="60" t="str">
        <x:v>https://www.eol.cn/m/zige/201709/t20170922_1556036.shtml</x:v>
      </x:c>
      <x:c r="K11" s="60" t="str">
        <x:v>司法部公开题面；答案链接为公开转载页面。</x:v>
      </x:c>
    </x:row>
    <x:row r="12" ht="54" customHeight="1">
      <x:c r="A12" s="60" t="n">
        <x:v>2017</x:v>
      </x:c>
      <x:c r="B12" s="60" t="str">
        <x:v>2017 年国家司法考试试卷四</x:v>
      </x:c>
      <x:c r="C12" s="60" t="str">
        <x:v>二</x:v>
      </x:c>
      <x:c r="D12" s="60" t="str">
        <x:v>刑法</x:v>
      </x:c>
      <x:c r="E12" s="60" t="str">
        <x:v>绑架、敲诈勒索、认识错误、遗弃</x:v>
      </x:c>
      <x:c r="F12" s="60" t="str">
        <x:v>行为人绑错儿童并索财，发生死亡、遗弃和处置尸体等事实，分析各阶段刑责。</x:v>
      </x:c>
      <x:c r="G12" s="60" t="str">
        <x:v>按绑架故意、索财对象错误、死亡结果归责、后续遗弃或毁灭证据等逐段评价，并处理罪数。</x:v>
      </x:c>
      <x:c r="H12" s="60" t="str">
        <x:v>官方公布</x:v>
      </x:c>
      <x:c r="I12" s="60" t="str">
        <x:v>https://www.moj.gov.cn/jgsz/jgszzsdw/zsdwgjsfkszx/gjsfkskskt/201805/t20180510_172368.html</x:v>
      </x:c>
      <x:c r="J12" s="60" t="str">
        <x:v>https://www.eol.cn/m/zige/201709/t20170922_1556036.shtml</x:v>
      </x:c>
      <x:c r="K12" s="60" t="str">
        <x:v>司法部公开题面；答案链接为公开转载页面。</x:v>
      </x:c>
    </x:row>
    <x:row r="13" ht="54" customHeight="1">
      <x:c r="A13" s="60" t="n">
        <x:v>2017</x:v>
      </x:c>
      <x:c r="B13" s="60" t="str">
        <x:v>2017 年国家司法考试试卷四</x:v>
      </x:c>
      <x:c r="C13" s="60" t="str">
        <x:v>三</x:v>
      </x:c>
      <x:c r="D13" s="60" t="str">
        <x:v>刑事诉讼法</x:v>
      </x:c>
      <x:c r="E13" s="60" t="str">
        <x:v>上诉抗诉、二审、再审与裁判效力</x:v>
      </x:c>
      <x:c r="F13" s="60" t="str">
        <x:v>强奸案一审无罪后检察机关抗诉，继而发生二审和再审，判断各程序及裁判效力。</x:v>
      </x:c>
      <x:c r="G13" s="60" t="str">
        <x:v>区分抗诉类型与期限，审查二审全面审查、上诉不加刑适用和再审启动主体，最后确定生效裁判。</x:v>
      </x:c>
      <x:c r="H13" s="60" t="str">
        <x:v>官方公布</x:v>
      </x:c>
      <x:c r="I13" s="60" t="str">
        <x:v>https://www.moj.gov.cn/jgsz/jgszzsdw/zsdwgjsfkszx/gjsfkskskt/201805/t20180510_172368.html</x:v>
      </x:c>
      <x:c r="J13" s="60" t="str">
        <x:v>https://www.eol.cn/m/zige/201709/t20170922_1556036.shtml</x:v>
      </x:c>
      <x:c r="K13" s="60" t="str">
        <x:v>司法部公开题面；答案链接为公开转载页面。</x:v>
      </x:c>
    </x:row>
    <x:row r="14" ht="54" customHeight="1">
      <x:c r="A14" s="60" t="n">
        <x:v>2017</x:v>
      </x:c>
      <x:c r="B14" s="60" t="str">
        <x:v>2017 年国家司法考试试卷四</x:v>
      </x:c>
      <x:c r="C14" s="60" t="str">
        <x:v>四</x:v>
      </x:c>
      <x:c r="D14" s="60" t="str">
        <x:v>民法</x:v>
      </x:c>
      <x:c r="E14" s="60" t="str">
        <x:v>借贷、让与担保、保证、买卖租赁与保险</x:v>
      </x:c>
      <x:c r="F14" s="60" t="str">
        <x:v>借款与房屋买卖担保、个人独资企业、保证质押、房屋转让出租和火灾保险交织。</x:v>
      </x:c>
      <x:c r="G14" s="60" t="str">
        <x:v>按基础债权、担保安排效力、物权变动、买卖不破租赁与保险代位分别作答，避免一笔交易一概而论。</x:v>
      </x:c>
      <x:c r="H14" s="60" t="str">
        <x:v>官方公布</x:v>
      </x:c>
      <x:c r="I14" s="60" t="str">
        <x:v>https://www.moj.gov.cn/jgsz/jgszzsdw/zsdwgjsfkszx/gjsfkskskt/201805/t20180510_172368.html</x:v>
      </x:c>
      <x:c r="J14" s="60" t="str">
        <x:v>https://www.eol.cn/m/zige/201709/t20170922_1556036.shtml</x:v>
      </x:c>
      <x:c r="K14" s="60" t="str">
        <x:v>司法部公开题面；答案链接为公开转载页面。</x:v>
      </x:c>
    </x:row>
    <x:row r="15" ht="54" customHeight="1">
      <x:c r="A15" s="60" t="n">
        <x:v>2017</x:v>
      </x:c>
      <x:c r="B15" s="60" t="str">
        <x:v>2017 年国家司法考试试卷四</x:v>
      </x:c>
      <x:c r="C15" s="60" t="str">
        <x:v>五</x:v>
      </x:c>
      <x:c r="D15" s="60" t="str">
        <x:v>商法</x:v>
      </x:c>
      <x:c r="E15" s="60" t="str">
        <x:v>资本减少、董监高、股份回购、解散清算</x:v>
      </x:c>
      <x:c r="F15" s="60" t="str">
        <x:v>公司治理中涉及减资、管理人员解任、股份回购及解散清算。</x:v>
      </x:c>
      <x:c r="G15" s="60" t="str">
        <x:v>分别审查决议机关和程序、债权人保护、法定回购事由、忠实勤勉义务以及解散清算顺序。</x:v>
      </x:c>
      <x:c r="H15" s="60" t="str">
        <x:v>官方公布</x:v>
      </x:c>
      <x:c r="I15" s="60" t="str">
        <x:v>https://www.moj.gov.cn/jgsz/jgszzsdw/zsdwgjsfkszx/gjsfkskskt/201805/t20180510_172368.html</x:v>
      </x:c>
      <x:c r="J15" s="60" t="str">
        <x:v>https://www.eol.cn/m/zige/201709/t20170922_1556036.shtml</x:v>
      </x:c>
      <x:c r="K15" s="60" t="str">
        <x:v>司法部公开题面；答案链接为公开转载页面。</x:v>
      </x:c>
    </x:row>
    <x:row r="16" ht="54" customHeight="1">
      <x:c r="A16" s="60" t="n">
        <x:v>2017</x:v>
      </x:c>
      <x:c r="B16" s="60" t="str">
        <x:v>2017 年国家司法考试试卷四</x:v>
      </x:c>
      <x:c r="C16" s="60" t="str">
        <x:v>六</x:v>
      </x:c>
      <x:c r="D16" s="60" t="str">
        <x:v>民事诉讼法</x:v>
      </x:c>
      <x:c r="E16" s="60" t="str">
        <x:v>高空坠物、当事人、送达、缺席审判</x:v>
      </x:c>
      <x:c r="F16" s="60" t="str">
        <x:v>窗户坠落致伤，题目连续追问管辖、当事人、证明责任、送达与缺席审判。</x:v>
      </x:c>
      <x:c r="G16" s="60" t="str">
        <x:v>先锁定侵权责任主体及可能追加的当事人，再审查侵权地管辖、举证责任、合法送达和缺席裁判条件。</x:v>
      </x:c>
      <x:c r="H16" s="60" t="str">
        <x:v>官方公布</x:v>
      </x:c>
      <x:c r="I16" s="60" t="str">
        <x:v>https://www.moj.gov.cn/jgsz/jgszzsdw/zsdwgjsfkszx/gjsfkskskt/201805/t20180510_172368.html</x:v>
      </x:c>
      <x:c r="J16" s="60" t="str">
        <x:v>https://www.eol.cn/m/zige/201709/t20170922_1556036.shtml</x:v>
      </x:c>
      <x:c r="K16" s="60" t="str">
        <x:v>司法部公开题面；答案链接为公开转载页面。</x:v>
      </x:c>
    </x:row>
    <x:row r="17" ht="54" customHeight="1">
      <x:c r="A17" s="60" t="n">
        <x:v>2017</x:v>
      </x:c>
      <x:c r="B17" s="60" t="str">
        <x:v>2017 年国家司法考试试卷四</x:v>
      </x:c>
      <x:c r="C17" s="60" t="str">
        <x:v>七</x:v>
      </x:c>
      <x:c r="D17" s="60" t="str">
        <x:v>行政法</x:v>
      </x:c>
      <x:c r="E17" s="60" t="str">
        <x:v>工业盐许可处罚、听证、复议、法治政府</x:v>
      </x:c>
      <x:c r="F17" s="60" t="str">
        <x:v>工业盐经营引发许可、处罚、听证、复议和被告争议，并要求论述放管服背景下的法治政府。</x:v>
      </x:c>
      <x:c r="G17" s="60" t="str">
        <x:v>案例部分按许可或处罚性质、程序权利、复议决定及被告规则作答；论述部分围绕职能科学、权责法定、执法严明、公开公正和服务型政府。</x:v>
      </x:c>
      <x:c r="H17" s="60" t="str">
        <x:v>官方公布</x:v>
      </x:c>
      <x:c r="I17" s="60" t="str">
        <x:v>https://www.moj.gov.cn/jgsz/jgszzsdw/zsdwgjsfkszx/gjsfkskskt/201805/t20180510_172368.html</x:v>
      </x:c>
      <x:c r="J17" s="60" t="str">
        <x:v>https://www.eol.cn/m/zige/201709/t20170922_1556036.shtml</x:v>
      </x:c>
      <x:c r="K17" s="60" t="str">
        <x:v>司法部公开题面；答案链接为公开转载页面。</x:v>
      </x:c>
    </x:row>
    <x:row r="18" ht="54" customHeight="1">
      <x:c r="A18" s="60" t="n">
        <x:v>2018</x:v>
      </x:c>
      <x:c r="B18" s="60" t="str">
        <x:v>2018 年国家统一法律职业资格考试主观题</x:v>
      </x:c>
      <x:c r="C18" s="60" t="str">
        <x:v>一</x:v>
      </x:c>
      <x:c r="D18" s="60" t="str">
        <x:v>习近平法治思想/法理</x:v>
      </x:c>
      <x:c r="E18" s="60" t="str">
        <x:v>中国特色社会主义法治道路</x:v>
      </x:c>
      <x:c r="F18" s="60" t="str">
        <x:v>论述坚定走中国特色社会主义法治道路的核心要求。</x:v>
      </x:c>
      <x:c r="G18" s="60" t="str">
        <x:v>以党的领导、人民当家作主、依法治国有机统一为主线，说明道路自信、制度优势和实践要求。</x:v>
      </x:c>
      <x:c r="H18" s="60" t="str">
        <x:v>回忆版·多源核验</x:v>
      </x:c>
      <x:c r="I18" s="60" t="str">
        <x:v>https://www.233.com/sf/yijuan/zhenti/202004/26095349927.html</x:v>
      </x:c>
      <x:c r="J18" s="60" t="str">
        <x:v>https://www.233.com/sf/yijuan/zhenti/202004/26095349927.html</x:v>
      </x:c>
      <x:c r="K18" s="60" t="str">
        <x:v>改革后首届法考，官方不再公开完整试题和答案；以下为公开回忆版要点。</x:v>
      </x:c>
    </x:row>
    <x:row r="19" ht="54" customHeight="1">
      <x:c r="A19" s="60" t="n">
        <x:v>2018</x:v>
      </x:c>
      <x:c r="B19" s="60" t="str">
        <x:v>2018 年国家统一法律职业资格考试主观题</x:v>
      </x:c>
      <x:c r="C19" s="60" t="str">
        <x:v>二</x:v>
      </x:c>
      <x:c r="D19" s="60" t="str">
        <x:v>刑法</x:v>
      </x:c>
      <x:c r="E19" s="60" t="str">
        <x:v>信用卡、黑恶犯罪、绑架、枪支与结果归责</x:v>
      </x:c>
      <x:c r="F19" s="60" t="str">
        <x:v>POS 机超额刷卡、涉黑团伙、绑架、枪支及死亡结果等多行为综合分析。</x:v>
      </x:c>
      <x:c r="G19" s="60" t="str">
        <x:v>按时间轴拆分各行为，处理财产犯罪、共同犯罪、绑架与死亡结果、枪支犯罪及罪数。</x:v>
      </x:c>
      <x:c r="H19" s="60" t="str">
        <x:v>回忆版·多源核验</x:v>
      </x:c>
      <x:c r="I19" s="60" t="str">
        <x:v>https://www.233.com/sf/yijuan/zhenti/202004/26095349927.html</x:v>
      </x:c>
      <x:c r="J19" s="60" t="str">
        <x:v>https://www.233.com/sf/yijuan/zhenti/202004/26095349927.html</x:v>
      </x:c>
      <x:c r="K19" s="60" t="str">
        <x:v>改革后首届法考，官方不再公开完整试题和答案；以下为公开回忆版要点。</x:v>
      </x:c>
    </x:row>
    <x:row r="20" ht="54" customHeight="1">
      <x:c r="A20" s="60" t="n">
        <x:v>2018</x:v>
      </x:c>
      <x:c r="B20" s="60" t="str">
        <x:v>2018 年国家统一法律职业资格考试主观题</x:v>
      </x:c>
      <x:c r="C20" s="60" t="str">
        <x:v>三</x:v>
      </x:c>
      <x:c r="D20" s="60" t="str">
        <x:v>刑事诉讼法</x:v>
      </x:c>
      <x:c r="E20" s="60" t="str">
        <x:v>证据、因果关系与法律文书</x:v>
      </x:c>
      <x:c r="F20" s="60" t="str">
        <x:v>要求围绕证据对死亡因果关系和延误救助进行判断，并完成法律文书式论证。</x:v>
      </x:c>
      <x:c r="G20" s="60" t="str">
        <x:v>建立证据链，分别评价证据能力和证明力；结论必须回应合理怀疑及法律文书格式。</x:v>
      </x:c>
      <x:c r="H20" s="60" t="str">
        <x:v>回忆版·多源核验</x:v>
      </x:c>
      <x:c r="I20" s="60" t="str">
        <x:v>https://www.233.com/sf/yijuan/zhenti/202004/26095349927.html</x:v>
      </x:c>
      <x:c r="J20" s="60" t="str">
        <x:v>https://www.233.com/sf/yijuan/zhenti/202004/26095349927.html</x:v>
      </x:c>
      <x:c r="K20" s="60" t="str">
        <x:v>改革后首届法考，官方不再公开完整试题和答案；以下为公开回忆版要点。</x:v>
      </x:c>
    </x:row>
    <x:row r="21" ht="54" customHeight="1">
      <x:c r="A21" s="60" t="n">
        <x:v>2018</x:v>
      </x:c>
      <x:c r="B21" s="60" t="str">
        <x:v>2018 年国家统一法律职业资格考试主观题</x:v>
      </x:c>
      <x:c r="C21" s="60" t="str">
        <x:v>四</x:v>
      </x:c>
      <x:c r="D21" s="60" t="str">
        <x:v>民法/民事诉讼法</x:v>
      </x:c>
      <x:c r="E21" s="60" t="str">
        <x:v>借贷、保证、重复起诉</x:v>
      </x:c>
      <x:c r="F21" s="60" t="str">
        <x:v>借贷担保关系与民事诉讼程序交叉，涉及保证责任、诉讼标的和重复起诉。</x:v>
      </x:c>
      <x:c r="G21" s="60" t="str">
        <x:v>先处理实体债权和保证，再对照当事人、诉讼标的、诉讼请求判断是否重复起诉。</x:v>
      </x:c>
      <x:c r="H21" s="60" t="str">
        <x:v>回忆版·多源核验</x:v>
      </x:c>
      <x:c r="I21" s="60" t="str">
        <x:v>https://www.233.com/sf/yijuan/zhenti/202004/26095349927.html</x:v>
      </x:c>
      <x:c r="J21" s="60" t="str">
        <x:v>https://www.233.com/sf/yijuan/zhenti/202004/26095349927.html</x:v>
      </x:c>
      <x:c r="K21" s="60" t="str">
        <x:v>改革后首届法考，官方不再公开完整试题和答案；以下为公开回忆版要点。</x:v>
      </x:c>
    </x:row>
    <x:row r="22" ht="54" customHeight="1">
      <x:c r="A22" s="60" t="n">
        <x:v>2018</x:v>
      </x:c>
      <x:c r="B22" s="60" t="str">
        <x:v>2018 年国家统一法律职业资格考试主观题</x:v>
      </x:c>
      <x:c r="C22" s="60" t="str">
        <x:v>五</x:v>
      </x:c>
      <x:c r="D22" s="60" t="str">
        <x:v>商法</x:v>
      </x:c>
      <x:c r="E22" s="60" t="str">
        <x:v>股权代持、出资、股权转让与善意取得</x:v>
      </x:c>
      <x:c r="F22" s="60" t="str">
        <x:v>围绕公司股权代持、出资义务和股权转让效力分析。</x:v>
      </x:c>
      <x:c r="G22" s="60" t="str">
        <x:v>区分代持内部关系与外部登记效力，审查出资责任、转让处分权限及相对人善意。</x:v>
      </x:c>
      <x:c r="H22" s="60" t="str">
        <x:v>回忆版·多源核验</x:v>
      </x:c>
      <x:c r="I22" s="60" t="str">
        <x:v>https://www.233.com/sf/yijuan/zhenti/202004/26095349927.html</x:v>
      </x:c>
      <x:c r="J22" s="60" t="str">
        <x:v>https://www.233.com/sf/yijuan/zhenti/202004/26095349927.html</x:v>
      </x:c>
      <x:c r="K22" s="60" t="str">
        <x:v>改革后首届法考，官方不再公开完整试题和答案；以下为公开回忆版要点。</x:v>
      </x:c>
    </x:row>
    <x:row r="23" ht="54" customHeight="1">
      <x:c r="A23" s="60" t="n">
        <x:v>2018</x:v>
      </x:c>
      <x:c r="B23" s="60" t="str">
        <x:v>2018 年国家统一法律职业资格考试主观题</x:v>
      </x:c>
      <x:c r="C23" s="60" t="str">
        <x:v>选做</x:v>
      </x:c>
      <x:c r="D23" s="60" t="str">
        <x:v>行政法</x:v>
      </x:c>
      <x:c r="E23" s="60" t="str">
        <x:v>强制拆除、程序与赔偿</x:v>
      </x:c>
      <x:c r="F23" s="60" t="str">
        <x:v>对强制拆除行为的权限、程序、救济和损失赔偿进行分析。</x:v>
      </x:c>
      <x:c r="G23" s="60" t="str">
        <x:v>分别判断强拆决定和实施行为，审查催告、公告、复议诉讼和行政赔偿举证。</x:v>
      </x:c>
      <x:c r="H23" s="60" t="str">
        <x:v>回忆版·多源核验</x:v>
      </x:c>
      <x:c r="I23" s="60" t="str">
        <x:v>https://www.233.com/sf/yijuan/zhenti/202004/26095349927.html</x:v>
      </x:c>
      <x:c r="J23" s="60" t="str">
        <x:v>https://www.233.com/sf/yijuan/zhenti/202004/26095349927.html</x:v>
      </x:c>
      <x:c r="K23" s="60" t="str">
        <x:v>改革后首届法考，官方不再公开完整试题和答案；以下为公开回忆版要点。</x:v>
      </x:c>
    </x:row>
    <x:row r="24" ht="54" customHeight="1">
      <x:c r="A24" s="60" t="n">
        <x:v>2019</x:v>
      </x:c>
      <x:c r="B24" s="60" t="str">
        <x:v>2019 年国家统一法律职业资格考试主观题</x:v>
      </x:c>
      <x:c r="C24" s="60" t="str">
        <x:v>一</x:v>
      </x:c>
      <x:c r="D24" s="60" t="str">
        <x:v>习近平法治思想/法理</x:v>
      </x:c>
      <x:c r="E24" s="60" t="str">
        <x:v>法治政府</x:v>
      </x:c>
      <x:c r="F24" s="60" t="str">
        <x:v>结合材料论述依法全面履行政府职能和法治政府建设。</x:v>
      </x:c>
      <x:c r="G24" s="60" t="str">
        <x:v>围绕职权法定、权责统一、规范执法、公开监督和服务效能组织。</x:v>
      </x:c>
      <x:c r="H24" s="60" t="str">
        <x:v>回忆版·多源核验</x:v>
      </x:c>
      <x:c r="I24" s="60" t="str">
        <x:v>https://www.233.com/sf/zhuguan/zhenti/201910/13175717788.html</x:v>
      </x:c>
      <x:c r="J24" s="60" t="str">
        <x:v>https://www.233.com/sf/zhuguan/zhenti/202212/13085256966559.html</x:v>
      </x:c>
      <x:c r="K24" s="60" t="str">
        <x:v>公开回忆题与教师解析综合整理。</x:v>
      </x:c>
    </x:row>
    <x:row r="25" ht="54" customHeight="1">
      <x:c r="A25" s="60" t="n">
        <x:v>2019</x:v>
      </x:c>
      <x:c r="B25" s="60" t="str">
        <x:v>2019 年国家统一法律职业资格考试主观题</x:v>
      </x:c>
      <x:c r="C25" s="60" t="str">
        <x:v>二</x:v>
      </x:c>
      <x:c r="D25" s="60" t="str">
        <x:v>刑法</x:v>
      </x:c>
      <x:c r="E25" s="60" t="str">
        <x:v>共同抢劫、诈骗、受贿、银行卡犯罪</x:v>
      </x:c>
      <x:c r="F25" s="60" t="str">
        <x:v>共同抢劫中的认识错误及死亡结果，与贷款诈骗、车辆质押诈骗、受贿、盗刷银行卡等连续事实。</x:v>
      </x:c>
      <x:c r="G25" s="60" t="str">
        <x:v>按行为人和行为段落确定罪名、共同故意、结果归责、身份犯和罪数，不用一个总罪名包办。</x:v>
      </x:c>
      <x:c r="H25" s="60" t="str">
        <x:v>回忆版·多源核验</x:v>
      </x:c>
      <x:c r="I25" s="60" t="str">
        <x:v>https://www.233.com/sf/zhuguan/zhenti/201910/13175717788.html</x:v>
      </x:c>
      <x:c r="J25" s="60" t="str">
        <x:v>https://www.233.com/sf/zhuguan/zhenti/202212/13085256966559.html</x:v>
      </x:c>
      <x:c r="K25" s="60" t="str">
        <x:v>公开回忆题与教师解析综合整理。</x:v>
      </x:c>
    </x:row>
    <x:row r="26" ht="54" customHeight="1">
      <x:c r="A26" s="60" t="n">
        <x:v>2019</x:v>
      </x:c>
      <x:c r="B26" s="60" t="str">
        <x:v>2019 年国家统一法律职业资格考试主观题</x:v>
      </x:c>
      <x:c r="C26" s="60" t="str">
        <x:v>三</x:v>
      </x:c>
      <x:c r="D26" s="60" t="str">
        <x:v>刑事诉讼法</x:v>
      </x:c>
      <x:c r="E26" s="60" t="str">
        <x:v>证据不足与无罪判决</x:v>
      </x:c>
      <x:c r="F26" s="60" t="str">
        <x:v>以证据体系存在矛盾为背景，判断能否达到排除合理怀疑及相应裁判。</x:v>
      </x:c>
      <x:c r="G26" s="60" t="str">
        <x:v>逐项审查取证合法性和证明力，证据链不能闭合时贯彻疑罪从无。</x:v>
      </x:c>
      <x:c r="H26" s="60" t="str">
        <x:v>回忆版·多源核验</x:v>
      </x:c>
      <x:c r="I26" s="60" t="str">
        <x:v>https://www.233.com/sf/zhuguan/zhenti/201910/13175717788.html</x:v>
      </x:c>
      <x:c r="J26" s="60" t="str">
        <x:v>https://www.233.com/sf/zhuguan/zhenti/202212/13085256966559.html</x:v>
      </x:c>
      <x:c r="K26" s="60" t="str">
        <x:v>公开回忆题与教师解析综合整理。</x:v>
      </x:c>
    </x:row>
    <x:row r="27" ht="54" customHeight="1">
      <x:c r="A27" s="60" t="n">
        <x:v>2019</x:v>
      </x:c>
      <x:c r="B27" s="60" t="str">
        <x:v>2019 年国家统一法律职业资格考试主观题</x:v>
      </x:c>
      <x:c r="C27" s="60" t="str">
        <x:v>四</x:v>
      </x:c>
      <x:c r="D27" s="60" t="str">
        <x:v>民法/民事诉讼法</x:v>
      </x:c>
      <x:c r="E27" s="60" t="str">
        <x:v>以物抵债、债权人撤销权、夫妻保证、票据质押</x:v>
      </x:c>
      <x:c r="F27" s="60" t="str">
        <x:v>多层合同担保事实涉及以物抵债、债权保全、夫妻一方保证、票据质押与诉讼保全。</x:v>
      </x:c>
      <x:c r="G27" s="60" t="str">
        <x:v>先确定主债权，再分别判断代物清偿、撤销权要件、保证效力、票据质押公示及保全程序。</x:v>
      </x:c>
      <x:c r="H27" s="60" t="str">
        <x:v>回忆版·多源核验</x:v>
      </x:c>
      <x:c r="I27" s="60" t="str">
        <x:v>https://www.233.com/sf/zhuguan/zhenti/201910/13175717788.html</x:v>
      </x:c>
      <x:c r="J27" s="60" t="str">
        <x:v>https://www.233.com/sf/zhuguan/zhenti/202212/13085256966559.html</x:v>
      </x:c>
      <x:c r="K27" s="60" t="str">
        <x:v>公开回忆题与教师解析综合整理。</x:v>
      </x:c>
    </x:row>
    <x:row r="28" ht="54" customHeight="1">
      <x:c r="A28" s="60" t="n">
        <x:v>2019</x:v>
      </x:c>
      <x:c r="B28" s="60" t="str">
        <x:v>2019 年国家统一法律职业资格考试主观题</x:v>
      </x:c>
      <x:c r="C28" s="60" t="str">
        <x:v>五</x:v>
      </x:c>
      <x:c r="D28" s="60" t="str">
        <x:v>商法</x:v>
      </x:c>
      <x:c r="E28" s="60" t="str">
        <x:v>股权质押、代持、重整与增资</x:v>
      </x:c>
      <x:c r="F28" s="60" t="str">
        <x:v>公司股权质押和代持关系进入重整、增资场景后的权利顺位。</x:v>
      </x:c>
      <x:c r="G28" s="60" t="str">
        <x:v>以公司登记、质权设立、代持内部外部效力和重整程序中的权利申报为轴作答。</x:v>
      </x:c>
      <x:c r="H28" s="60" t="str">
        <x:v>回忆版·多源核验</x:v>
      </x:c>
      <x:c r="I28" s="60" t="str">
        <x:v>https://www.233.com/sf/zhuguan/zhenti/201910/13175717788.html</x:v>
      </x:c>
      <x:c r="J28" s="60" t="str">
        <x:v>https://www.233.com/sf/zhuguan/zhenti/202212/13085256966559.html</x:v>
      </x:c>
      <x:c r="K28" s="60" t="str">
        <x:v>公开回忆题与教师解析综合整理。</x:v>
      </x:c>
    </x:row>
    <x:row r="29" ht="54" customHeight="1">
      <x:c r="A29" s="60" t="n">
        <x:v>2019</x:v>
      </x:c>
      <x:c r="B29" s="60" t="str">
        <x:v>2019 年国家统一法律职业资格考试主观题</x:v>
      </x:c>
      <x:c r="C29" s="60" t="str">
        <x:v>选做</x:v>
      </x:c>
      <x:c r="D29" s="60" t="str">
        <x:v>行政法</x:v>
      </x:c>
      <x:c r="E29" s="60" t="str">
        <x:v>行政许可与处罚救济</x:v>
      </x:c>
      <x:c r="F29" s="60" t="str">
        <x:v>行政机关作出许可或处罚后引发复议与诉讼。</x:v>
      </x:c>
      <x:c r="G29" s="60" t="str">
        <x:v>按行为性质、原告资格、复议机关、被告和裁判方式完成闭环。</x:v>
      </x:c>
      <x:c r="H29" s="60" t="str">
        <x:v>回忆版·多源核验</x:v>
      </x:c>
      <x:c r="I29" s="60" t="str">
        <x:v>https://www.233.com/sf/zhuguan/zhenti/201910/13175717788.html</x:v>
      </x:c>
      <x:c r="J29" s="60" t="str">
        <x:v>https://www.233.com/sf/zhuguan/zhenti/202212/13085256966559.html</x:v>
      </x:c>
      <x:c r="K29" s="60" t="str">
        <x:v>公开回忆题与教师解析综合整理。</x:v>
      </x:c>
    </x:row>
    <x:row r="30" ht="54" customHeight="1">
      <x:c r="A30" s="60" t="n">
        <x:v>2020</x:v>
      </x:c>
      <x:c r="B30" s="60" t="str">
        <x:v>2020 年国家统一法律职业资格考试主观题</x:v>
      </x:c>
      <x:c r="C30" s="60" t="str">
        <x:v>一</x:v>
      </x:c>
      <x:c r="D30" s="60" t="str">
        <x:v>习近平法治思想/法理</x:v>
      </x:c>
      <x:c r="E30" s="60" t="str">
        <x:v>国家治理现代化、依法防疫</x:v>
      </x:c>
      <x:c r="F30" s="60" t="str">
        <x:v>结合疫情防控论述法治在国家治理体系和治理能力现代化中的作用。</x:v>
      </x:c>
      <x:c r="G30" s="60" t="str">
        <x:v>从依法决策、依法行政、权利保障、应急治理和社会协同说明法治固根本、稳预期、利长远。</x:v>
      </x:c>
      <x:c r="H30" s="60" t="str">
        <x:v>回忆版·多源核验</x:v>
      </x:c>
      <x:c r="I30" s="60" t="str">
        <x:v>https://www.233.com/sf/zhuguan/zhenti/202012/01085212579.html</x:v>
      </x:c>
      <x:c r="J30" s="60" t="str">
        <x:v>https://www.233.com/sf/zhuguan/zhenti/202012/01085212579.html</x:v>
      </x:c>
      <x:c r="K30" s="60" t="str">
        <x:v>公开回忆题汇总。</x:v>
      </x:c>
    </x:row>
    <x:row r="31" ht="54" customHeight="1">
      <x:c r="A31" s="60" t="n">
        <x:v>2020</x:v>
      </x:c>
      <x:c r="B31" s="60" t="str">
        <x:v>2020 年国家统一法律职业资格考试主观题</x:v>
      </x:c>
      <x:c r="C31" s="60" t="str">
        <x:v>二</x:v>
      </x:c>
      <x:c r="D31" s="60" t="str">
        <x:v>刑法</x:v>
      </x:c>
      <x:c r="E31" s="60" t="str">
        <x:v>盗伐林木、职务犯罪、敲诈勒索与因果关系</x:v>
      </x:c>
      <x:c r="F31" s="60" t="str">
        <x:v>林木采伐、国家工作人员、装修纠纷、敲诈勒索、互殴及死亡结果交织。</x:v>
      </x:c>
      <x:c r="G31" s="60" t="str">
        <x:v>逐段判断行为对象和身份，处理财产犯罪与职务犯罪、敲诈勒索、正当防卫或互殴、死亡结果归责。</x:v>
      </x:c>
      <x:c r="H31" s="60" t="str">
        <x:v>回忆版·多源核验</x:v>
      </x:c>
      <x:c r="I31" s="60" t="str">
        <x:v>https://www.233.com/sf/zhuguan/zhenti/202012/01085212579.html</x:v>
      </x:c>
      <x:c r="J31" s="60" t="str">
        <x:v>https://www.233.com/sf/zhuguan/zhenti/202012/01085212579.html</x:v>
      </x:c>
      <x:c r="K31" s="60" t="str">
        <x:v>公开回忆题汇总。</x:v>
      </x:c>
    </x:row>
    <x:row r="32" ht="54" customHeight="1">
      <x:c r="A32" s="60" t="n">
        <x:v>2020</x:v>
      </x:c>
      <x:c r="B32" s="60" t="str">
        <x:v>2020 年国家统一法律职业资格考试主观题</x:v>
      </x:c>
      <x:c r="C32" s="60" t="str">
        <x:v>三</x:v>
      </x:c>
      <x:c r="D32" s="60" t="str">
        <x:v>刑事诉讼法</x:v>
      </x:c>
      <x:c r="E32" s="60" t="str">
        <x:v>网络犯罪管辖、讯问录音录像、鉴定意见</x:v>
      </x:c>
      <x:c r="F32" s="60" t="str">
        <x:v>网络犯罪侦查涉及管辖，口供与同步录音录像不一致，价格认定材料性质存疑。</x:v>
      </x:c>
      <x:c r="G32" s="60" t="str">
        <x:v>先审查管辖连接点；口供矛盾需结合录音录像判断合法性真实性；价格认定是否属于鉴定意见应依法定程序和主体资格判断。</x:v>
      </x:c>
      <x:c r="H32" s="60" t="str">
        <x:v>回忆版·多源核验</x:v>
      </x:c>
      <x:c r="I32" s="60" t="str">
        <x:v>https://www.233.com/sf/zhuguan/zhenti/202012/01085212579.html</x:v>
      </x:c>
      <x:c r="J32" s="60" t="str">
        <x:v>https://www.233.com/sf/zhuguan/zhenti/202012/01085212579.html</x:v>
      </x:c>
      <x:c r="K32" s="60" t="str">
        <x:v>公开回忆题汇总。</x:v>
      </x:c>
    </x:row>
    <x:row r="33" ht="54" customHeight="1">
      <x:c r="A33" s="60" t="n">
        <x:v>2020</x:v>
      </x:c>
      <x:c r="B33" s="60" t="str">
        <x:v>2020 年国家统一法律职业资格考试主观题</x:v>
      </x:c>
      <x:c r="C33" s="60" t="str">
        <x:v>四</x:v>
      </x:c>
      <x:c r="D33" s="60" t="str">
        <x:v>民法/商法/民事诉讼法</x:v>
      </x:c>
      <x:c r="E33" s="60" t="str">
        <x:v>房地产融资、保证、浮动抵押、破产重整</x:v>
      </x:c>
      <x:c r="F33" s="60" t="str">
        <x:v>房地产开发融资串联股东、保证、浮动抵押、赠与、销售广告、重整及鉴定程序。</x:v>
      </x:c>
      <x:c r="G33" s="60" t="str">
        <x:v>按主体关系分层，先合同债权和担保顺位，再处理广告承诺、股东责任、破产受理后权利行使与诉讼程序。</x:v>
      </x:c>
      <x:c r="H33" s="60" t="str">
        <x:v>回忆版·多源核验</x:v>
      </x:c>
      <x:c r="I33" s="60" t="str">
        <x:v>https://www.233.com/sf/zhuguan/zhenti/202012/01085212579.html</x:v>
      </x:c>
      <x:c r="J33" s="60" t="str">
        <x:v>https://www.233.com/sf/zhuguan/zhenti/202012/01085212579.html</x:v>
      </x:c>
      <x:c r="K33" s="60" t="str">
        <x:v>公开回忆题汇总。</x:v>
      </x:c>
    </x:row>
    <x:row r="34" ht="54" customHeight="1">
      <x:c r="A34" s="60" t="n">
        <x:v>2020</x:v>
      </x:c>
      <x:c r="B34" s="60" t="str">
        <x:v>2020 年国家统一法律职业资格考试主观题</x:v>
      </x:c>
      <x:c r="C34" s="60" t="str">
        <x:v>选做一</x:v>
      </x:c>
      <x:c r="D34" s="60" t="str">
        <x:v>行政法</x:v>
      </x:c>
      <x:c r="E34" s="60" t="str">
        <x:v>拆迁补偿协议、仲裁条款、信息公开</x:v>
      </x:c>
      <x:c r="F34" s="60" t="str">
        <x:v>征收拆迁补偿协议约定仲裁，后又发生信息公开争议。</x:v>
      </x:c>
      <x:c r="G34" s="60" t="str">
        <x:v>行政协议争议原则上走行政诉讼，仲裁约定效力须依行政协议可仲裁性判断；信息公开行为另行审查。</x:v>
      </x:c>
      <x:c r="H34" s="60" t="str">
        <x:v>回忆版·多源核验</x:v>
      </x:c>
      <x:c r="I34" s="60" t="str">
        <x:v>https://www.233.com/sf/zhuguan/zhenti/202012/01085212579.html</x:v>
      </x:c>
      <x:c r="J34" s="60" t="str">
        <x:v>https://www.233.com/sf/zhuguan/zhenti/202012/01085212579.html</x:v>
      </x:c>
      <x:c r="K34" s="60" t="str">
        <x:v>公开回忆题汇总。</x:v>
      </x:c>
    </x:row>
    <x:row r="35" ht="54" customHeight="1">
      <x:c r="A35" s="60" t="n">
        <x:v>2020</x:v>
      </x:c>
      <x:c r="B35" s="60" t="str">
        <x:v>2020 年国家统一法律职业资格考试主观题</x:v>
      </x:c>
      <x:c r="C35" s="60" t="str">
        <x:v>选做二</x:v>
      </x:c>
      <x:c r="D35" s="60" t="str">
        <x:v>商法</x:v>
      </x:c>
      <x:c r="E35" s="60" t="str">
        <x:v>员工持股、增资、关联交易、股东除名</x:v>
      </x:c>
      <x:c r="F35" s="60" t="str">
        <x:v>公司员工持股和增资后，董事关联贷款及股东除名引发争议。</x:v>
      </x:c>
      <x:c r="G35" s="60" t="str">
        <x:v>分别审查出资程序、董事忠实义务与关联交易效力、股东除名的法定条件和催缴程序。</x:v>
      </x:c>
      <x:c r="H35" s="60" t="str">
        <x:v>回忆版·多源核验</x:v>
      </x:c>
      <x:c r="I35" s="60" t="str">
        <x:v>https://www.233.com/sf/zhuguan/zhenti/202012/01085212579.html</x:v>
      </x:c>
      <x:c r="J35" s="60" t="str">
        <x:v>https://www.233.com/sf/zhuguan/zhenti/202012/01085212579.html</x:v>
      </x:c>
      <x:c r="K35" s="60" t="str">
        <x:v>公开回忆题汇总。</x:v>
      </x:c>
    </x:row>
    <x:row r="36" ht="54" customHeight="1">
      <x:c r="A36" s="60" t="n">
        <x:v>2021</x:v>
      </x:c>
      <x:c r="B36" s="60" t="str">
        <x:v>2021 年国家统一法律职业资格考试主观题</x:v>
      </x:c>
      <x:c r="C36" s="60" t="str">
        <x:v>一</x:v>
      </x:c>
      <x:c r="D36" s="60" t="str">
        <x:v>习近平法治思想/法理</x:v>
      </x:c>
      <x:c r="E36" s="60" t="str">
        <x:v>以人民为中心的法治建设</x:v>
      </x:c>
      <x:c r="F36" s="60" t="str">
        <x:v>论述全面依法治国为什么必须坚持以人民为中心。</x:v>
      </x:c>
      <x:c r="G36" s="60" t="str">
        <x:v>以人民主体地位、权益保障、公平正义、全过程人民民主和法治成果共享构建论证。</x:v>
      </x:c>
      <x:c r="H36" s="60" t="str">
        <x:v>回忆版·多源核验</x:v>
      </x:c>
      <x:c r="I36" s="60" t="str">
        <x:v>https://www.233.com/sf/zhuguan/zhenti/202112/20112947400432.html</x:v>
      </x:c>
      <x:c r="J36" s="60" t="str">
        <x:v>https://www.233.com/sf/zhuguan/zhenti/202112/20112947400432.html</x:v>
      </x:c>
      <x:c r="K36" s="60" t="str">
        <x:v>部分考区延期，公开资料存在常规卷与延期卷，使用时先核对卷别。</x:v>
      </x:c>
    </x:row>
    <x:row r="37" ht="54" customHeight="1">
      <x:c r="A37" s="60" t="n">
        <x:v>2021</x:v>
      </x:c>
      <x:c r="B37" s="60" t="str">
        <x:v>2021 年国家统一法律职业资格考试主观题</x:v>
      </x:c>
      <x:c r="C37" s="60" t="str">
        <x:v>二</x:v>
      </x:c>
      <x:c r="D37" s="60" t="str">
        <x:v>刑法</x:v>
      </x:c>
      <x:c r="E37" s="60" t="str">
        <x:v>抢劫、信用卡、生产销售伪劣产品、财产性利益</x:v>
      </x:c>
      <x:c r="F37" s="60" t="str">
        <x:v>儿童受胁取财、手机银行与信用卡、低档酒冒充、为逃债杀人并取财等事实。</x:v>
      </x:c>
      <x:c r="G37" s="60" t="str">
        <x:v>区分盗窃转化、抢劫胁迫，信用卡和网络支付犯罪，诈骗与伪劣产品犯罪，以及财产性利益能否成为抢劫对象。</x:v>
      </x:c>
      <x:c r="H37" s="60" t="str">
        <x:v>回忆版·多源核验</x:v>
      </x:c>
      <x:c r="I37" s="60" t="str">
        <x:v>https://www.233.com/sf/zhuguan/zhenti/202112/20112947400432.html</x:v>
      </x:c>
      <x:c r="J37" s="60" t="str">
        <x:v>https://www.233.com/sf/zhuguan/zhenti/202112/20112947400432.html</x:v>
      </x:c>
      <x:c r="K37" s="60" t="str">
        <x:v>部分考区延期，公开资料存在常规卷与延期卷，使用时先核对卷别。</x:v>
      </x:c>
    </x:row>
    <x:row r="38" ht="54" customHeight="1">
      <x:c r="A38" s="60" t="n">
        <x:v>2021</x:v>
      </x:c>
      <x:c r="B38" s="60" t="str">
        <x:v>2021 年国家统一法律职业资格考试主观题</x:v>
      </x:c>
      <x:c r="C38" s="60" t="str">
        <x:v>三</x:v>
      </x:c>
      <x:c r="D38" s="60" t="str">
        <x:v>刑事诉讼法</x:v>
      </x:c>
      <x:c r="E38" s="60" t="str">
        <x:v>逮捕比例、认罪认罚、非法证据、回避</x:v>
      </x:c>
      <x:c r="F38" s="60" t="str">
        <x:v>考查逮捕必要性、认罪认罚、非法证人证言及派生电子数据、回避与庭前会议。</x:v>
      </x:c>
      <x:c r="G38" s="60" t="str">
        <x:v>分别从强制措施比例原则、程序自愿真实、非法证据排除范围、回避事由与庭前解决程序问题作答。</x:v>
      </x:c>
      <x:c r="H38" s="60" t="str">
        <x:v>回忆版·多源核验</x:v>
      </x:c>
      <x:c r="I38" s="60" t="str">
        <x:v>https://www.233.com/sf/zhuguan/zhenti/202112/20112947400432.html</x:v>
      </x:c>
      <x:c r="J38" s="60" t="str">
        <x:v>https://www.233.com/sf/zhuguan/zhenti/202112/20112947400432.html</x:v>
      </x:c>
      <x:c r="K38" s="60" t="str">
        <x:v>部分考区延期，公开资料存在常规卷与延期卷，使用时先核对卷别。</x:v>
      </x:c>
    </x:row>
    <x:row r="39" ht="54" customHeight="1">
      <x:c r="A39" s="60" t="n">
        <x:v>2021</x:v>
      </x:c>
      <x:c r="B39" s="60" t="str">
        <x:v>2021 年国家统一法律职业资格考试主观题</x:v>
      </x:c>
      <x:c r="C39" s="60" t="str">
        <x:v>四</x:v>
      </x:c>
      <x:c r="D39" s="60" t="str">
        <x:v>民法/民事诉讼法</x:v>
      </x:c>
      <x:c r="E39" s="60" t="str">
        <x:v>高空抛物、监护、二维码收款、机会损失</x:v>
      </x:c>
      <x:c r="F39" s="60" t="str">
        <x:v>未成年人高空抛物，物业安全保障、收款二维码、监护责任、缔约机会损失及执行和解交织。</x:v>
      </x:c>
      <x:c r="G39" s="60" t="str">
        <x:v>区分直接侵权、监护人责任和物业补充责任；合同部分审查表见代理或不当得利、可预见损失；程序部分处理送达、上诉和执行和解。</x:v>
      </x:c>
      <x:c r="H39" s="60" t="str">
        <x:v>回忆版·多源核验</x:v>
      </x:c>
      <x:c r="I39" s="60" t="str">
        <x:v>https://www.233.com/sf/zhuguan/zhenti/202112/20112947400432.html</x:v>
      </x:c>
      <x:c r="J39" s="60" t="str">
        <x:v>https://www.233.com/sf/zhuguan/zhenti/202112/20112947400432.html</x:v>
      </x:c>
      <x:c r="K39" s="60" t="str">
        <x:v>部分考区延期，公开资料存在常规卷与延期卷，使用时先核对卷别。</x:v>
      </x:c>
    </x:row>
    <x:row r="40" ht="54" customHeight="1">
      <x:c r="A40" s="60" t="n">
        <x:v>2021</x:v>
      </x:c>
      <x:c r="B40" s="60" t="str">
        <x:v>2021 年国家统一法律职业资格考试主观题</x:v>
      </x:c>
      <x:c r="C40" s="60" t="str">
        <x:v>五</x:v>
      </x:c>
      <x:c r="D40" s="60" t="str">
        <x:v>商法</x:v>
      </x:c>
      <x:c r="E40" s="60" t="str">
        <x:v>资本公积、董事责任、投资协议与出资</x:v>
      </x:c>
      <x:c r="F40" s="60" t="str">
        <x:v>资本溢价、董事忠实勤勉义务、补偿协议、股东会决议和出资责任。</x:v>
      </x:c>
      <x:c r="G40" s="60" t="str">
        <x:v>明确资本公积用途与程序，审查董事责任归属、对赌或补偿协议效力、决议瑕疵及出资责任。</x:v>
      </x:c>
      <x:c r="H40" s="60" t="str">
        <x:v>回忆版·多源核验</x:v>
      </x:c>
      <x:c r="I40" s="60" t="str">
        <x:v>https://www.233.com/sf/zhuguan/zhenti/202112/20112947400432.html</x:v>
      </x:c>
      <x:c r="J40" s="60" t="str">
        <x:v>https://www.233.com/sf/zhuguan/zhenti/202112/20112947400432.html</x:v>
      </x:c>
      <x:c r="K40" s="60" t="str">
        <x:v>部分考区延期，公开资料存在常规卷与延期卷，使用时先核对卷别。</x:v>
      </x:c>
    </x:row>
    <x:row r="41" ht="54" customHeight="1">
      <x:c r="A41" s="60" t="n">
        <x:v>2021</x:v>
      </x:c>
      <x:c r="B41" s="60" t="str">
        <x:v>2021 年国家统一法律职业资格考试主观题</x:v>
      </x:c>
      <x:c r="C41" s="60" t="str">
        <x:v>选做</x:v>
      </x:c>
      <x:c r="D41" s="60" t="str">
        <x:v>行政法</x:v>
      </x:c>
      <x:c r="E41" s="60" t="str">
        <x:v>土地收回、行政赔偿、二审裁判</x:v>
      </x:c>
      <x:c r="F41" s="60" t="str">
        <x:v>土地收回引发原告被告、行为性质、赔偿证明、第三人和二审漏判补偿问题。</x:v>
      </x:c>
      <x:c r="G41" s="60" t="str">
        <x:v>先定性收回行为和当事人；赔偿举证结合行政机关违法造成证据灭失规则；二审对漏判请求依法处理。</x:v>
      </x:c>
      <x:c r="H41" s="60" t="str">
        <x:v>回忆版·多源核验</x:v>
      </x:c>
      <x:c r="I41" s="60" t="str">
        <x:v>https://www.233.com/sf/zhuguan/zhenti/202112/20112947400432.html</x:v>
      </x:c>
      <x:c r="J41" s="60" t="str">
        <x:v>https://www.233.com/sf/zhuguan/zhenti/202112/20112947400432.html</x:v>
      </x:c>
      <x:c r="K41" s="60" t="str">
        <x:v>部分考区延期，公开资料存在常规卷与延期卷，使用时先核对卷别。</x:v>
      </x:c>
    </x:row>
    <x:row r="42" ht="54" customHeight="1">
      <x:c r="A42" s="60" t="n">
        <x:v>2022</x:v>
      </x:c>
      <x:c r="B42" s="60" t="str">
        <x:v>2022 年国家统一法律职业资格考试主观题（延期至 2023 年举行）</x:v>
      </x:c>
      <x:c r="C42" s="60" t="str">
        <x:v>整卷</x:v>
      </x:c>
      <x:c r="D42" s="60" t="str">
        <x:v>综合</x:v>
      </x:c>
      <x:c r="E42" s="60" t="str">
        <x:v>一论述题、五案例题</x:v>
      </x:c>
      <x:c r="F42" s="60" t="str">
        <x:v>2022 年主观题整卷公开回忆入口；逐题题面需在在线题库中核对。</x:v>
      </x:c>
      <x:c r="G42" s="60" t="str">
        <x:v>建议在原页面按卷别查看。由于公开索引不稳定，本版不填充未经核验的具体案情和结论。</x:v>
      </x:c>
      <x:c r="H42" s="60" t="str">
        <x:v>回忆版·待逐题复核</x:v>
      </x:c>
      <x:c r="I42" s="60" t="str">
        <x:v>https://ks.233.com/tiku/exam/item/425281</x:v>
      </x:c>
      <x:c r="J42" s="60" t="str">
        <x:v>https://www.233.com/sf/yijuan/zhenti/202209/09142239864179.html</x:v>
      </x:c>
      <x:c r="K42" s="60" t="str">
        <x:v>主观题考试延期至 2023-03-26；公开在线题库显示 180 分、240 分钟、1 道论述题和 5 道案例题。当前保留整卷入口，不对未稳定索引的逐题题面作推断。</x:v>
      </x:c>
    </x:row>
    <x:row r="43" ht="54" customHeight="1">
      <x:c r="A43" s="60" t="n">
        <x:v>2023</x:v>
      </x:c>
      <x:c r="B43" s="60" t="str">
        <x:v>2023 年国家统一法律职业资格考试主观题</x:v>
      </x:c>
      <x:c r="C43" s="60" t="str">
        <x:v>一</x:v>
      </x:c>
      <x:c r="D43" s="60" t="str">
        <x:v>习近平法治思想/法理</x:v>
      </x:c>
      <x:c r="E43" s="60" t="str">
        <x:v>全面依法治国</x:v>
      </x:c>
      <x:c r="F43" s="60" t="str">
        <x:v>结合年度材料论述全面依法治国相关命题。</x:v>
      </x:c>
      <x:c r="G43" s="60" t="str">
        <x:v>原公开页面可访问但摘要未稳定呈现完整题干，本库保留科目入口，答题应以材料关键词确定中心论点。</x:v>
      </x:c>
      <x:c r="H43" s="60" t="str">
        <x:v>回忆版·多源核验</x:v>
      </x:c>
      <x:c r="I43" s="60" t="str">
        <x:v>https://www.233.com/sf/zhuguan/zhenti/</x:v>
      </x:c>
      <x:c r="J43" s="60" t="str">
        <x:v>https://www.233.com/sf/zhuguan/zhenti/202310/13163755524462.html</x:v>
      </x:c>
      <x:c r="K43" s="60" t="str">
        <x:v>按科目公开回忆与教师解析汇总。</x:v>
      </x:c>
    </x:row>
    <x:row r="44" ht="54" customHeight="1">
      <x:c r="A44" s="60" t="n">
        <x:v>2023</x:v>
      </x:c>
      <x:c r="B44" s="60" t="str">
        <x:v>2023 年国家统一法律职业资格考试主观题</x:v>
      </x:c>
      <x:c r="C44" s="60" t="str">
        <x:v>二</x:v>
      </x:c>
      <x:c r="D44" s="60" t="str">
        <x:v>刑法</x:v>
      </x:c>
      <x:c r="E44" s="60" t="str">
        <x:v>帮助信息网络犯罪、侵占/职务行为、自首</x:v>
      </x:c>
      <x:c r="F44" s="60" t="str">
        <x:v>出售银行卡帮助电诈并伴随侵占等行为，重点分析陆某的犯罪和自首。</x:v>
      </x:c>
      <x:c r="G44" s="60" t="str">
        <x:v>审查明知程度和帮助行为与上游诈骗的关系，区分帮信与诈骗共犯；再判断财物占有基础和投案、如实供述范围。</x:v>
      </x:c>
      <x:c r="H44" s="60" t="str">
        <x:v>回忆版·多源核验</x:v>
      </x:c>
      <x:c r="I44" s="60" t="str">
        <x:v>https://www.233.com/sf/zhuguan/zhenti/</x:v>
      </x:c>
      <x:c r="J44" s="60" t="str">
        <x:v>https://www.233.com/sf/zhuguan/zhenti/202310/13163755524462.html</x:v>
      </x:c>
      <x:c r="K44" s="60" t="str">
        <x:v>按科目公开回忆与教师解析汇总。</x:v>
      </x:c>
    </x:row>
    <x:row r="45" ht="54" customHeight="1">
      <x:c r="A45" s="60" t="n">
        <x:v>2023</x:v>
      </x:c>
      <x:c r="B45" s="60" t="str">
        <x:v>2023 年国家统一法律职业资格考试主观题</x:v>
      </x:c>
      <x:c r="C45" s="60" t="str">
        <x:v>三</x:v>
      </x:c>
      <x:c r="D45" s="60" t="str">
        <x:v>刑事诉讼法</x:v>
      </x:c>
      <x:c r="E45" s="60" t="str">
        <x:v>年龄证据、合理怀疑、二审处理</x:v>
      </x:c>
      <x:c r="F45" s="60" t="str">
        <x:v>抢劫者向盗窃者索财，案件存在年龄证据矛盾，要求判断证明标准和二审处理。</x:v>
      </x:c>
      <x:c r="G45" s="60" t="str">
        <x:v>刑事责任年龄必须证据确实充分；无法排除合理怀疑时作有利被告判断，二审依一审事实证据和程序错误选择改判或发回。</x:v>
      </x:c>
      <x:c r="H45" s="60" t="str">
        <x:v>回忆版·多源核验</x:v>
      </x:c>
      <x:c r="I45" s="60" t="str">
        <x:v>https://www.233.com/sf/zhuguan/zhenti/</x:v>
      </x:c>
      <x:c r="J45" s="60" t="str">
        <x:v>https://www.233.com/sf/zhuguan/zhenti/202310/13163755524462.html</x:v>
      </x:c>
      <x:c r="K45" s="60" t="str">
        <x:v>按科目公开回忆与教师解析汇总。</x:v>
      </x:c>
    </x:row>
    <x:row r="46" ht="54" customHeight="1">
      <x:c r="A46" s="60" t="n">
        <x:v>2023</x:v>
      </x:c>
      <x:c r="B46" s="60" t="str">
        <x:v>2023 年国家统一法律职业资格考试主观题</x:v>
      </x:c>
      <x:c r="C46" s="60" t="str">
        <x:v>四</x:v>
      </x:c>
      <x:c r="D46" s="60" t="str">
        <x:v>民法/民事诉讼法</x:v>
      </x:c>
      <x:c r="E46" s="60" t="str">
        <x:v>合同、物权与程序综合</x:v>
      </x:c>
      <x:c r="F46" s="60" t="str">
        <x:v>年度民事综合回忆题，覆盖合同履行、担保和诉讼程序。</x:v>
      </x:c>
      <x:c r="G46" s="60" t="str">
        <x:v>按法律关系图拆分请求权基础，再写抗辩、担保顺位和程序处理。</x:v>
      </x:c>
      <x:c r="H46" s="60" t="str">
        <x:v>回忆版·多源核验</x:v>
      </x:c>
      <x:c r="I46" s="60" t="str">
        <x:v>https://www.233.com/sf/zhuguan/zhenti/</x:v>
      </x:c>
      <x:c r="J46" s="60" t="str">
        <x:v>https://www.233.com/sf/zhuguan/zhenti/202310/13163755524462.html</x:v>
      </x:c>
      <x:c r="K46" s="60" t="str">
        <x:v>按科目公开回忆与教师解析汇总。</x:v>
      </x:c>
    </x:row>
    <x:row r="47" ht="54" customHeight="1">
      <x:c r="A47" s="60" t="n">
        <x:v>2023</x:v>
      </x:c>
      <x:c r="B47" s="60" t="str">
        <x:v>2023 年国家统一法律职业资格考试主观题</x:v>
      </x:c>
      <x:c r="C47" s="60" t="str">
        <x:v>五</x:v>
      </x:c>
      <x:c r="D47" s="60" t="str">
        <x:v>商法</x:v>
      </x:c>
      <x:c r="E47" s="60" t="str">
        <x:v>公司资本、法定代表人、出资加速到期、破产</x:v>
      </x:c>
      <x:c r="F47" s="60" t="str">
        <x:v>公司资本运作、法定代表人订约、股东出资加速到期与破产程序。</x:v>
      </x:c>
      <x:c r="G47" s="60" t="str">
        <x:v>区分代表权限内部限制与外部效力，审查出资期限利益的例外、债权人保护和破产受理后的集中清偿。</x:v>
      </x:c>
      <x:c r="H47" s="60" t="str">
        <x:v>回忆版·多源核验</x:v>
      </x:c>
      <x:c r="I47" s="60" t="str">
        <x:v>https://www.233.com/sf/zhuguan/zhenti/</x:v>
      </x:c>
      <x:c r="J47" s="60" t="str">
        <x:v>https://www.233.com/sf/zhuguan/zhenti/202310/13163755524462.html</x:v>
      </x:c>
      <x:c r="K47" s="60" t="str">
        <x:v>按科目公开回忆与教师解析汇总。</x:v>
      </x:c>
    </x:row>
    <x:row r="48" ht="54" customHeight="1">
      <x:c r="A48" s="60" t="n">
        <x:v>2023</x:v>
      </x:c>
      <x:c r="B48" s="60" t="str">
        <x:v>2023 年国家统一法律职业资格考试主观题</x:v>
      </x:c>
      <x:c r="C48" s="60" t="str">
        <x:v>选做</x:v>
      </x:c>
      <x:c r="D48" s="60" t="str">
        <x:v>行政法</x:v>
      </x:c>
      <x:c r="E48" s="60" t="str">
        <x:v>行政行为与救济综合</x:v>
      </x:c>
      <x:c r="F48" s="60" t="str">
        <x:v>年度行政法选做回忆题。</x:v>
      </x:c>
      <x:c r="G48" s="60" t="str">
        <x:v>按行政主体、行为性质、合法性、复议诉讼和裁判方式五层组织；具体结论以原页卷别为准。</x:v>
      </x:c>
      <x:c r="H48" s="60" t="str">
        <x:v>回忆版·多源核验</x:v>
      </x:c>
      <x:c r="I48" s="60" t="str">
        <x:v>https://www.233.com/sf/zhuguan/zhenti/</x:v>
      </x:c>
      <x:c r="J48" s="60" t="str">
        <x:v>https://www.233.com/sf/zhuguan/zhenti/202310/13163755524462.html</x:v>
      </x:c>
      <x:c r="K48" s="60" t="str">
        <x:v>按科目公开回忆与教师解析汇总。</x:v>
      </x:c>
    </x:row>
    <x:row r="49" ht="54" customHeight="1">
      <x:c r="A49" s="60" t="n">
        <x:v>2024</x:v>
      </x:c>
      <x:c r="B49" s="60" t="str">
        <x:v>2024 年国家统一法律职业资格考试主观题</x:v>
      </x:c>
      <x:c r="C49" s="60" t="str">
        <x:v>一</x:v>
      </x:c>
      <x:c r="D49" s="60" t="str">
        <x:v>习近平法治思想/法理</x:v>
      </x:c>
      <x:c r="E49" s="60" t="str">
        <x:v>高水平社会主义市场经济与法治保障</x:v>
      </x:c>
      <x:c r="F49" s="60" t="str">
        <x:v>论述法治如何保障高水平社会主义市场经济和改革发展。</x:v>
      </x:c>
      <x:c r="G49" s="60" t="str">
        <x:v>以产权保护、公平竞争、统一市场、规范政府行为和稳定预期为论证层次。</x:v>
      </x:c>
      <x:c r="H49" s="60" t="str">
        <x:v>回忆版·多源核验</x:v>
      </x:c>
      <x:c r="I49" s="60" t="str">
        <x:v>https://www.weibo.com/ttarticle/p/show?id=2309635092622849933391</x:v>
      </x:c>
      <x:c r="J49" s="60" t="str">
        <x:v>https://www.weibo.com/ttarticle/p/show?id=2309635092622849933391</x:v>
      </x:c>
      <x:c r="K49" s="60" t="str">
        <x:v>公开机构教师回忆与解析合辑。</x:v>
      </x:c>
    </x:row>
    <x:row r="50" ht="54" customHeight="1">
      <x:c r="A50" s="60" t="n">
        <x:v>2024</x:v>
      </x:c>
      <x:c r="B50" s="60" t="str">
        <x:v>2024 年国家统一法律职业资格考试主观题</x:v>
      </x:c>
      <x:c r="C50" s="60" t="str">
        <x:v>二</x:v>
      </x:c>
      <x:c r="D50" s="60" t="str">
        <x:v>刑法</x:v>
      </x:c>
      <x:c r="E50" s="60" t="str">
        <x:v>冒充警察、电信诈骗、预备未遂、共同犯罪</x:v>
      </x:c>
      <x:c r="F50" s="60" t="str">
        <x:v>冒充警察实施电信诈骗，涉及犯罪预备与未遂；同伙入户并取得香烟等财物。</x:v>
      </x:c>
      <x:c r="G50" s="60" t="str">
        <x:v>逐人判断共同故意和分工，识别诈骗着手与未遂，另评入户取财行为及罪数。</x:v>
      </x:c>
      <x:c r="H50" s="60" t="str">
        <x:v>回忆版·多源核验</x:v>
      </x:c>
      <x:c r="I50" s="60" t="str">
        <x:v>https://www.weibo.com/ttarticle/p/show?id=2309635092622849933391</x:v>
      </x:c>
      <x:c r="J50" s="60" t="str">
        <x:v>https://www.weibo.com/ttarticle/p/show?id=2309635092622849933391</x:v>
      </x:c>
      <x:c r="K50" s="60" t="str">
        <x:v>公开机构教师回忆与解析合辑。</x:v>
      </x:c>
    </x:row>
    <x:row r="51" ht="54" customHeight="1">
      <x:c r="A51" s="60" t="n">
        <x:v>2024</x:v>
      </x:c>
      <x:c r="B51" s="60" t="str">
        <x:v>2024 年国家统一法律职业资格考试主观题</x:v>
      </x:c>
      <x:c r="C51" s="60" t="str">
        <x:v>三</x:v>
      </x:c>
      <x:c r="D51" s="60" t="str">
        <x:v>刑事诉讼法</x:v>
      </x:c>
      <x:c r="E51" s="60" t="str">
        <x:v>取保候审、上诉不加刑、抗诉</x:v>
      </x:c>
      <x:c r="F51" s="60" t="str">
        <x:v>围绕取保候审期限、上诉或抗诉后的二审裁判限制等问题。</x:v>
      </x:c>
      <x:c r="G51" s="60" t="str">
        <x:v>核对强制措施期限和变更解除义务；仅被告上诉时适用上诉不加刑，有检察抗诉等情形另论。</x:v>
      </x:c>
      <x:c r="H51" s="60" t="str">
        <x:v>回忆版·多源核验</x:v>
      </x:c>
      <x:c r="I51" s="60" t="str">
        <x:v>https://www.weibo.com/ttarticle/p/show?id=2309635092622849933391</x:v>
      </x:c>
      <x:c r="J51" s="60" t="str">
        <x:v>https://www.weibo.com/ttarticle/p/show?id=2309635092622849933391</x:v>
      </x:c>
      <x:c r="K51" s="60" t="str">
        <x:v>公开机构教师回忆与解析合辑。</x:v>
      </x:c>
    </x:row>
    <x:row r="52" ht="54" customHeight="1">
      <x:c r="A52" s="60" t="n">
        <x:v>2024</x:v>
      </x:c>
      <x:c r="B52" s="60" t="str">
        <x:v>2024 年国家统一法律职业资格考试主观题</x:v>
      </x:c>
      <x:c r="C52" s="60" t="str">
        <x:v>四</x:v>
      </x:c>
      <x:c r="D52" s="60" t="str">
        <x:v>民法/民事诉讼法</x:v>
      </x:c>
      <x:c r="E52" s="60" t="str">
        <x:v>民商事综合</x:v>
      </x:c>
      <x:c r="F52" s="60" t="str">
        <x:v>年度民商事综合回忆题，涵盖合同、担保及诉讼处理。</x:v>
      </x:c>
      <x:c r="G52" s="60" t="str">
        <x:v>以请求权基础为主线，程序问题单独编号，避免实体程序混写。</x:v>
      </x:c>
      <x:c r="H52" s="60" t="str">
        <x:v>回忆版·多源核验</x:v>
      </x:c>
      <x:c r="I52" s="60" t="str">
        <x:v>https://www.weibo.com/ttarticle/p/show?id=2309635092622849933391</x:v>
      </x:c>
      <x:c r="J52" s="60" t="str">
        <x:v>https://www.weibo.com/ttarticle/p/show?id=2309635092622849933391</x:v>
      </x:c>
      <x:c r="K52" s="60" t="str">
        <x:v>公开机构教师回忆与解析合辑。</x:v>
      </x:c>
    </x:row>
    <x:row r="53" ht="54" customHeight="1">
      <x:c r="A53" s="60" t="n">
        <x:v>2024</x:v>
      </x:c>
      <x:c r="B53" s="60" t="str">
        <x:v>2024 年国家统一法律职业资格考试主观题</x:v>
      </x:c>
      <x:c r="C53" s="60" t="str">
        <x:v>五</x:v>
      </x:c>
      <x:c r="D53" s="60" t="str">
        <x:v>商法</x:v>
      </x:c>
      <x:c r="E53" s="60" t="str">
        <x:v>公司与破产综合</x:v>
      </x:c>
      <x:c r="F53" s="60" t="str">
        <x:v>公司治理、出资和破产相关年度选做题。</x:v>
      </x:c>
      <x:c r="G53" s="60" t="str">
        <x:v>依公司资本规则、决议权限、董监高责任和破产集中清偿顺序作答。</x:v>
      </x:c>
      <x:c r="H53" s="60" t="str">
        <x:v>回忆版·多源核验</x:v>
      </x:c>
      <x:c r="I53" s="60" t="str">
        <x:v>https://www.weibo.com/ttarticle/p/show?id=2309635092622849933391</x:v>
      </x:c>
      <x:c r="J53" s="60" t="str">
        <x:v>https://www.weibo.com/ttarticle/p/show?id=2309635092622849933391</x:v>
      </x:c>
      <x:c r="K53" s="60" t="str">
        <x:v>公开机构教师回忆与解析合辑。</x:v>
      </x:c>
    </x:row>
    <x:row r="54" ht="54" customHeight="1">
      <x:c r="A54" s="60" t="n">
        <x:v>2024</x:v>
      </x:c>
      <x:c r="B54" s="60" t="str">
        <x:v>2024 年国家统一法律职业资格考试主观题</x:v>
      </x:c>
      <x:c r="C54" s="60" t="str">
        <x:v>选做</x:v>
      </x:c>
      <x:c r="D54" s="60" t="str">
        <x:v>行政法</x:v>
      </x:c>
      <x:c r="E54" s="60" t="str">
        <x:v>行政行为合法性综合</x:v>
      </x:c>
      <x:c r="F54" s="60" t="str">
        <x:v>行政法年度选做题，涉及行政执法与诉讼救济。</x:v>
      </x:c>
      <x:c r="G54" s="60" t="str">
        <x:v>对每一问先定性行为，再写主体、依据、程序、裁量和救济。</x:v>
      </x:c>
      <x:c r="H54" s="60" t="str">
        <x:v>回忆版·多源核验</x:v>
      </x:c>
      <x:c r="I54" s="60" t="str">
        <x:v>https://www.weibo.com/ttarticle/p/show?id=2309635092622849933391</x:v>
      </x:c>
      <x:c r="J54" s="60" t="str">
        <x:v>https://www.weibo.com/ttarticle/p/show?id=2309635092622849933391</x:v>
      </x:c>
      <x:c r="K54" s="60" t="str">
        <x:v>公开机构教师回忆与解析合辑。</x:v>
      </x:c>
    </x:row>
    <x:row r="55" ht="54" customHeight="1">
      <x:c r="A55" s="60" t="n">
        <x:v>2025</x:v>
      </x:c>
      <x:c r="B55" s="60" t="str">
        <x:v>2025 年国家统一法律职业资格考试主观题</x:v>
      </x:c>
      <x:c r="C55" s="60" t="str">
        <x:v>一</x:v>
      </x:c>
      <x:c r="D55" s="60" t="str">
        <x:v>习近平法治思想/法理</x:v>
      </x:c>
      <x:c r="E55" s="60" t="str">
        <x:v>中华法治文明与理论创新</x:v>
      </x:c>
      <x:c r="F55" s="60" t="str">
        <x:v>围绕中华法治文明，论述马克思主义基本原理同中国具体实际、中华优秀传统文化相结合。</x:v>
      </x:c>
      <x:c r="G55" s="60" t="str">
        <x:v>以理论根基、文化传承、实践创新和建设中国特色社会主义法治体系为层次，避免只罗列口号。</x:v>
      </x:c>
      <x:c r="H55" s="60" t="str">
        <x:v>回忆版·多源核验</x:v>
      </x:c>
      <x:c r="I55" s="60" t="str">
        <x:v>https://www.sohu.com/a/943712564_121124302</x:v>
      </x:c>
      <x:c r="J55" s="60" t="str">
        <x:v>https://www.sohu.com/a/943712564_121124302</x:v>
      </x:c>
      <x:c r="K55" s="60" t="str">
        <x:v>公开机构教师回忆与解析合辑；不同老师对个别争点可能有分歧。</x:v>
      </x:c>
    </x:row>
    <x:row r="56" ht="54" customHeight="1">
      <x:c r="A56" s="60" t="n">
        <x:v>2025</x:v>
      </x:c>
      <x:c r="B56" s="60" t="str">
        <x:v>2025 年国家统一法律职业资格考试主观题</x:v>
      </x:c>
      <x:c r="C56" s="60" t="str">
        <x:v>二</x:v>
      </x:c>
      <x:c r="D56" s="60" t="str">
        <x:v>刑法</x:v>
      </x:c>
      <x:c r="E56" s="60" t="str">
        <x:v>刑法综合案例</x:v>
      </x:c>
      <x:c r="F56" s="60" t="str">
        <x:v>年度刑法回忆题为多行为、多主体综合案例。</x:v>
      </x:c>
      <x:c r="G56" s="60" t="str">
        <x:v>先列时间轴和行为人，再逐行为判断构成要件、形态、共同犯罪、罪数和量刑情节；具体事实以原页为准。</x:v>
      </x:c>
      <x:c r="H56" s="60" t="str">
        <x:v>回忆版·多源核验</x:v>
      </x:c>
      <x:c r="I56" s="60" t="str">
        <x:v>https://www.sohu.com/a/943712564_121124302</x:v>
      </x:c>
      <x:c r="J56" s="60" t="str">
        <x:v>https://www.sohu.com/a/943712564_121124302</x:v>
      </x:c>
      <x:c r="K56" s="60" t="str">
        <x:v>公开机构教师回忆与解析合辑；不同老师对个别争点可能有分歧。</x:v>
      </x:c>
    </x:row>
    <x:row r="57" ht="54" customHeight="1">
      <x:c r="A57" s="60" t="n">
        <x:v>2025</x:v>
      </x:c>
      <x:c r="B57" s="60" t="str">
        <x:v>2025 年国家统一法律职业资格考试主观题</x:v>
      </x:c>
      <x:c r="C57" s="60" t="str">
        <x:v>三</x:v>
      </x:c>
      <x:c r="D57" s="60" t="str">
        <x:v>刑事诉讼法</x:v>
      </x:c>
      <x:c r="E57" s="60" t="str">
        <x:v>认罪认罚、行政处罚材料、鉴定、侦查实验、抗诉</x:v>
      </x:c>
      <x:c r="F57" s="60" t="str">
        <x:v>郑某案涉及认罪认罚、既往行政处罚材料用途、受污染血样鉴定、侦查实验、证人证言及期限后补充抗诉。</x:v>
      </x:c>
      <x:c r="G57" s="60" t="str">
        <x:v>分别审查认罪认罚自愿真实性、行政材料转化使用条件、鉴定检材可靠性、侦查实验程序、证言审查和抗诉期限；程序违法与证据排除不可一概而论。</x:v>
      </x:c>
      <x:c r="H57" s="60" t="str">
        <x:v>回忆版·多源核验</x:v>
      </x:c>
      <x:c r="I57" s="60" t="str">
        <x:v>https://www.sohu.com/a/943712564_121124302</x:v>
      </x:c>
      <x:c r="J57" s="60" t="str">
        <x:v>https://www.sohu.com/a/943712564_121124302</x:v>
      </x:c>
      <x:c r="K57" s="60" t="str">
        <x:v>公开机构教师回忆与解析合辑；不同老师对个别争点可能有分歧。</x:v>
      </x:c>
    </x:row>
    <x:row r="58" ht="54" customHeight="1">
      <x:c r="A58" s="60" t="n">
        <x:v>2025</x:v>
      </x:c>
      <x:c r="B58" s="60" t="str">
        <x:v>2025 年国家统一法律职业资格考试主观题</x:v>
      </x:c>
      <x:c r="C58" s="60" t="str">
        <x:v>四</x:v>
      </x:c>
      <x:c r="D58" s="60" t="str">
        <x:v>民法/民事诉讼法</x:v>
      </x:c>
      <x:c r="E58" s="60" t="str">
        <x:v>民商事综合</x:v>
      </x:c>
      <x:c r="F58" s="60" t="str">
        <x:v>年度民商事综合回忆题，包含多重合同和程序争点。</x:v>
      </x:c>
      <x:c r="G58" s="60" t="str">
        <x:v>建立人物关系与请求权表，按合同效力、履行、担保、侵权或不当得利及程序逐问回应。</x:v>
      </x:c>
      <x:c r="H58" s="60" t="str">
        <x:v>回忆版·多源核验</x:v>
      </x:c>
      <x:c r="I58" s="60" t="str">
        <x:v>https://www.sohu.com/a/943712564_121124302</x:v>
      </x:c>
      <x:c r="J58" s="60" t="str">
        <x:v>https://www.sohu.com/a/943712564_121124302</x:v>
      </x:c>
      <x:c r="K58" s="60" t="str">
        <x:v>公开机构教师回忆与解析合辑；不同老师对个别争点可能有分歧。</x:v>
      </x:c>
    </x:row>
    <x:row r="59" ht="54" customHeight="1">
      <x:c r="A59" s="60" t="n">
        <x:v>2025</x:v>
      </x:c>
      <x:c r="B59" s="60" t="str">
        <x:v>2025 年国家统一法律职业资格考试主观题</x:v>
      </x:c>
      <x:c r="C59" s="60" t="str">
        <x:v>五</x:v>
      </x:c>
      <x:c r="D59" s="60" t="str">
        <x:v>商法</x:v>
      </x:c>
      <x:c r="E59" s="60" t="str">
        <x:v>公司法与破产法</x:v>
      </x:c>
      <x:c r="F59" s="60" t="str">
        <x:v>年度商法选做题围绕新公司法语境下的资本与治理。</x:v>
      </x:c>
      <x:c r="G59" s="60" t="str">
        <x:v>优先核对新公司法施行后的出资期限、股东责任、决议和董监高义务，再处理破产影响。</x:v>
      </x:c>
      <x:c r="H59" s="60" t="str">
        <x:v>回忆版·多源核验</x:v>
      </x:c>
      <x:c r="I59" s="60" t="str">
        <x:v>https://www.sohu.com/a/943712564_121124302</x:v>
      </x:c>
      <x:c r="J59" s="60" t="str">
        <x:v>https://www.sohu.com/a/943712564_121124302</x:v>
      </x:c>
      <x:c r="K59" s="60" t="str">
        <x:v>公开机构教师回忆与解析合辑；不同老师对个别争点可能有分歧。</x:v>
      </x:c>
    </x:row>
    <x:row r="60" ht="54" customHeight="1">
      <x:c r="A60" s="60" t="n">
        <x:v>2025</x:v>
      </x:c>
      <x:c r="B60" s="60" t="str">
        <x:v>2025 年国家统一法律职业资格考试主观题</x:v>
      </x:c>
      <x:c r="C60" s="60" t="str">
        <x:v>选做</x:v>
      </x:c>
      <x:c r="D60" s="60" t="str">
        <x:v>行政法</x:v>
      </x:c>
      <x:c r="E60" s="60" t="str">
        <x:v>行政法综合</x:v>
      </x:c>
      <x:c r="F60" s="60" t="str">
        <x:v>行政执法、复议或诉讼救济综合回忆题。</x:v>
      </x:c>
      <x:c r="G60" s="60" t="str">
        <x:v>逐问标出行为性质、主体、程序和裁判方式；与教师答案冲突处保留分歧，不把回忆版写成官方答案。</x:v>
      </x:c>
      <x:c r="H60" s="60" t="str">
        <x:v>回忆版·多源核验</x:v>
      </x:c>
      <x:c r="I60" s="60" t="str">
        <x:v>https://www.sohu.com/a/943712564_121124302</x:v>
      </x:c>
      <x:c r="J60" s="60" t="str">
        <x:v>https://www.sohu.com/a/943712564_121124302</x:v>
      </x:c>
      <x:c r="K60" s="60" t="str">
        <x:v>公开机构教师回忆与解析合辑；不同老师对个别争点可能有分歧。</x:v>
      </x:c>
    </x:row>
  </x:sheetData>
  <x:mergeCells>
    <x:mergeCell ref="A1:K1"/>
    <x:mergeCell ref="A2:K2"/>
  </x:mergeCells>
  <x:pageMargins left="0.7" right="0.7" top="0.75" bottom="0.75" header="0.3" footer="0.3"/>
  <x:tableParts count="1">
    <x:tablePart xmlns:r="http://schemas.openxmlformats.org/officeDocument/2006/relationships" r:id="Rf871ca684ece4e7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2" hidden="0" customWidth="1"/>
    <x:col min="4" max="4" width="26" hidden="0" customWidth="1"/>
    <x:col min="5" max="5" width="70" hidden="0" customWidth="1"/>
    <x:col min="6" max="6" width="42" hidden="0" customWidth="1"/>
  </x:cols>
  <x:sheetData>
    <x:row r="1" ht="34" customHeight="1">
      <x:c r="A1" s="3" t="str">
        <x:v>2026 主观题机构与教师渠道台账</x:v>
      </x:c>
      <x:c r="B1" s="3" t="str">
        <x:v>2026 主观题机构与教师渠道台账</x:v>
      </x:c>
      <x:c r="C1" s="3" t="str">
        <x:v>2026 主观题机构与教师渠道台账</x:v>
      </x:c>
      <x:c r="D1" s="3" t="str">
        <x:v>2026 主观题机构与教师渠道台账</x:v>
      </x:c>
      <x:c r="E1" s="3" t="str">
        <x:v>2026 主观题机构与教师渠道台账</x:v>
      </x:c>
      <x:c r="F1" s="3" t="str">
        <x:v>2026 主观题机构与教师渠道台账</x:v>
      </x:c>
    </x:row>
    <x:row r="2" ht="30" customHeight="1">
      <x:c r="A2" s="7" t="str">
        <x:v>18 个渠道分级管理；已接入、持续追踪、客观题排除和后续补录状态均保留</x:v>
      </x:c>
      <x:c r="B2" s="7" t="str">
        <x:v>18 个渠道分级管理；已接入、持续追踪、客观题排除和后续补录状态均保留</x:v>
      </x:c>
      <x:c r="C2" s="7" t="str">
        <x:v>18 个渠道分级管理；已接入、持续追踪、客观题排除和后续补录状态均保留</x:v>
      </x:c>
      <x:c r="D2" s="7" t="str">
        <x:v>18 个渠道分级管理；已接入、持续追踪、客观题排除和后续补录状态均保留</x:v>
      </x:c>
      <x:c r="E2" s="7" t="str">
        <x:v>18 个渠道分级管理；已接入、持续追踪、客观题排除和后续补录状态均保留</x:v>
      </x:c>
      <x:c r="F2" s="7" t="str">
        <x:v>18 个渠道分级管理；已接入、持续追踪、客观题排除和后续补录状态均保留</x:v>
      </x:c>
    </x:row>
    <x:row r="3" ht="28" customHeight="1">
      <x:c r="A3" s="56" t="str">
        <x:v>机构</x:v>
      </x:c>
      <x:c r="B3" s="56" t="str">
        <x:v>老师</x:v>
      </x:c>
      <x:c r="C3" s="56" t="str">
        <x:v>系列</x:v>
      </x:c>
      <x:c r="D3" s="56" t="str">
        <x:v>内容类型 / 状态</x:v>
      </x:c>
      <x:c r="E3" s="56" t="str">
        <x:v>核验说明</x:v>
      </x:c>
      <x:c r="F3" s="56" t="str">
        <x:v>公开依据</x:v>
      </x:c>
    </x:row>
    <x:row r="4" ht="54" customHeight="1">
      <x:c r="A4" s="60" t="str">
        <x:v>司法部国家司法考试中心</x:v>
      </x:c>
      <x:c r="B4" s="60" t="str">
        <x:v>官方</x:v>
      </x:c>
      <x:c r="C4" s="60" t="str">
        <x:v>2026 法考公告与考试动态</x:v>
      </x:c>
      <x:c r="D4" s="60" t="str">
        <x:v>官方考试信息｜已接入</x:v>
      </x:c>
      <x:c r="E4" s="60" t="str">
        <x:v>考试日期、报名、准考证和成绩信息只采用司法行政机关公告。</x:v>
      </x:c>
      <x:c r="F4" s="60" t="str">
        <x:v>https://www.chinalaw.gov.cn/jgsz/jgszzsdw/zsdwgjsfkszx/</x:v>
      </x:c>
    </x:row>
    <x:row r="5" ht="54" customHeight="1">
      <x:c r="A5" s="60" t="str">
        <x:v>司法部 / 共产党员网 / 中国人大网</x:v>
      </x:c>
      <x:c r="B5" s="60" t="str">
        <x:v>权威理论资料</x:v>
      </x:c>
      <x:c r="C5" s="60" t="str">
        <x:v>习近平法治思想权威学习资料</x:v>
      </x:c>
      <x:c r="D5" s="60" t="str">
        <x:v>权威理论带背｜已接入</x:v>
      </x:c>
      <x:c r="E5" s="60" t="str">
        <x:v>2026 备考以《习近平法治思想学习纲要（2025年版）》的十二个坚持为准。</x:v>
      </x:c>
      <x:c r="F5" s="60" t="str">
        <x:v>https://www.12371.cn/2025/02/06/ARTI1738807387913394.shtml</x:v>
      </x:c>
    </x:row>
    <x:row r="6" ht="54" customHeight="1">
      <x:c r="A6" s="60" t="str">
        <x:v>理论法胡震</x:v>
      </x:c>
      <x:c r="B6" s="60" t="str">
        <x:v>胡震</x:v>
      </x:c>
      <x:c r="C6" s="60" t="str">
        <x:v>2026 主观考点每日带背（已核到 Day 83+）</x:v>
      </x:c>
      <x:c r="D6" s="60" t="str">
        <x:v>主观带背｜持续追踪</x:v>
      </x:c>
      <x:c r="E6" s="60" t="str">
        <x:v>教师公开带背与权威理论资料交叉核验；网页正文使用本库原创背诵稿。</x:v>
      </x:c>
      <x:c r="F6" s="60" t="str">
        <x:v>https://www.sina.cn/media/1199079185</x:v>
      </x:c>
    </x:row>
    <x:row r="7" ht="54" customHeight="1">
      <x:c r="A7" s="60" t="str">
        <x:v>方圆众合</x:v>
      </x:c>
      <x:c r="B7" s="60" t="str">
        <x:v>李佳</x:v>
      </x:c>
      <x:c r="C7" s="60" t="str">
        <x:v>2026 行政法主观题每日一题（已核第 1—13 题）</x:v>
      </x:c>
      <x:c r="D7" s="60" t="str">
        <x:v>纯主观｜已接入</x:v>
      </x:c>
      <x:c r="E7" s="60" t="str">
        <x:v>本渠道登记的是 8 月 18 日启动的独立主观题系列；此前 1—108 为客观题系列，另列为主客观一体观察源，不与这 13 道纯主观题混算。</x:v>
      </x:c>
      <x:c r="F7" s="60" t="str">
        <x:v>https://www.sina.cn/media/1552849431</x:v>
      </x:c>
    </x:row>
    <x:row r="8" ht="54" customHeight="1">
      <x:c r="A8" s="60" t="str">
        <x:v>方圆众合</x:v>
      </x:c>
      <x:c r="B8" s="60" t="str">
        <x:v>孟献贵</x:v>
      </x:c>
      <x:c r="C8" s="60" t="str">
        <x:v>2026 主观题案例带写（已公开至第 238 题）</x:v>
      </x:c>
      <x:c r="D8" s="60" t="str">
        <x:v>纯主观｜持续追踪</x:v>
      </x:c>
      <x:c r="E8" s="60" t="str">
        <x:v>该栏目为独立的主观题案例带写系列，不再归入客观题主观化；现已结构化接入第 225—232、238 题，其余按题面与答案完整性分批回填。</x:v>
      </x:c>
      <x:c r="F8" s="60" t="str">
        <x:v>https://www.sina.cn/media/2342740757</x:v>
      </x:c>
    </x:row>
    <x:row r="9" ht="54" customHeight="1">
      <x:c r="A9" s="60" t="str">
        <x:v>方圆众合</x:v>
      </x:c>
      <x:c r="B9" s="60" t="str">
        <x:v>左宁</x:v>
      </x:c>
      <x:c r="C9" s="60" t="str">
        <x:v>2026 刑诉每日一题与主观题训练</x:v>
      </x:c>
      <x:c r="D9" s="60" t="str">
        <x:v>客观题主观化｜待逐题接入</x:v>
      </x:c>
      <x:c r="E9" s="60" t="str">
        <x:v>客观题不直接入库；主观简答、证据分析和程序论证优先。</x:v>
      </x:c>
      <x:c r="F9" s="60" t="str">
        <x:v>https://www.bilibili.com/list/417302260?bvid=BV19vLc6wEMt&amp;oid=116593463922768</x:v>
      </x:c>
    </x:row>
    <x:row r="10" ht="54" customHeight="1">
      <x:c r="A10" s="60" t="str">
        <x:v>方圆众合 / 公开账号</x:v>
      </x:c>
      <x:c r="B10" s="60" t="str">
        <x:v>柏浪涛</x:v>
      </x:c>
      <x:c r="C10" s="60" t="str">
        <x:v>2026 刑法每日一题与观点展示</x:v>
      </x:c>
      <x:c r="D10" s="60" t="str">
        <x:v>客观题主观化｜待逐题接入</x:v>
      </x:c>
      <x:c r="E10" s="60" t="str">
        <x:v>优先收录因果关系、认识错误、共同犯罪和观点展示类主观分析。</x:v>
      </x:c>
      <x:c r="F10" s="60" t="str">
        <x:v>https://www.sina.cn/media/7424709715</x:v>
      </x:c>
    </x:row>
    <x:row r="11" ht="54" customHeight="1">
      <x:c r="A11" s="60" t="str">
        <x:v>方圆众合</x:v>
      </x:c>
      <x:c r="B11" s="60" t="str">
        <x:v>杨帆</x:v>
      </x:c>
      <x:c r="C11" s="60" t="str">
        <x:v>2026 三国法每日一题</x:v>
      </x:c>
      <x:c r="D11" s="60" t="str">
        <x:v>客观题主观化｜待逐题接入</x:v>
      </x:c>
      <x:c r="E11" s="60" t="str">
        <x:v>仅收录能够形成规则说明、冲突规范适用或法律关系分析的题目。</x:v>
      </x:c>
      <x:c r="F11" s="60" t="str">
        <x:v>https://www.sina.cn/news/detail/5316510702373752.html</x:v>
      </x:c>
    </x:row>
    <x:row r="12" ht="54" customHeight="1">
      <x:c r="A12" s="60" t="str">
        <x:v>觉晓法考 / 公开账号</x:v>
      </x:c>
      <x:c r="B12" s="60" t="str">
        <x:v>韩心怡</x:v>
      </x:c>
      <x:c r="C12" s="60" t="str">
        <x:v>2026 民诉每日一问（4 月 26 日收官）</x:v>
      </x:c>
      <x:c r="D12" s="60" t="str">
        <x:v>主客一体｜已接入·继续补录</x:v>
      </x:c>
      <x:c r="E12" s="60" t="str">
        <x:v>官方账号明确说明主客一体课程在可考主观题章节设置主观案例；现已接入 Day 64—70 的完整题面、公布答案要旨和本库完整作答，其他题继续按主观属性逐条筛入。</x:v>
      </x:c>
      <x:c r="F12" s="60" t="str">
        <x:v>https://weibo.com/u/1905221643?refer_flag=1005050010_</x:v>
      </x:c>
    </x:row>
    <x:row r="13" ht="54" customHeight="1">
      <x:c r="A13" s="60" t="str">
        <x:v>觉晓法考 / 公开账号</x:v>
      </x:c>
      <x:c r="B13" s="60" t="str">
        <x:v>崔红玉</x:v>
      </x:c>
      <x:c r="C13" s="60" t="str">
        <x:v>2026 民法每日小判断（已检索至 148+）</x:v>
      </x:c>
      <x:c r="D13" s="60" t="str">
        <x:v>客观题主观化｜持续追踪</x:v>
      </x:c>
      <x:c r="E13" s="60" t="str">
        <x:v>每日小判断不冒充纯主观题；精选小案例和主观十题取得稳定题目、答案页后进入主观目录。</x:v>
      </x:c>
      <x:c r="F13" s="60" t="str">
        <x:v>https://www.sina.cn/media/7093959866</x:v>
      </x:c>
    </x:row>
    <x:row r="14" ht="54" customHeight="1">
      <x:c r="A14" s="60" t="str">
        <x:v>公开账号</x:v>
      </x:c>
      <x:c r="B14" s="60" t="str">
        <x:v>张翔</x:v>
      </x:c>
      <x:c r="C14" s="60" t="str">
        <x:v>2026 民法每日一题</x:v>
      </x:c>
      <x:c r="D14" s="60" t="str">
        <x:v>客观题主观化｜待逐题接入</x:v>
      </x:c>
      <x:c r="E14" s="60" t="str">
        <x:v>检索到题目、答案与解析汇总入口；待逐题确认是否具有完整可独立作答的主观设问。</x:v>
      </x:c>
      <x:c r="F14" s="60" t="str">
        <x:v>https://www.sina.cn/news/detail/5306125269600859.html</x:v>
      </x:c>
    </x:row>
    <x:row r="15" ht="54" customHeight="1">
      <x:c r="A15" s="60" t="str">
        <x:v>方圆众合</x:v>
      </x:c>
      <x:c r="B15" s="60" t="str">
        <x:v>郄鹏恩</x:v>
      </x:c>
      <x:c r="C15" s="60" t="str">
        <x:v>2026 商经知每日一题（已检索至 89+）</x:v>
      </x:c>
      <x:c r="D15" s="60" t="str">
        <x:v>客观题主观化｜持续追踪</x:v>
      </x:c>
      <x:c r="E15" s="60" t="str">
        <x:v>客观题不直接进入主观目录；公司法和商法中可形成完整案例分析的题目另行标记。</x:v>
      </x:c>
      <x:c r="F15" s="60" t="str">
        <x:v>https://www.bilibili.com/list/ml3886411349</x:v>
      </x:c>
    </x:row>
    <x:row r="16" ht="54" customHeight="1">
      <x:c r="A16" s="60" t="str">
        <x:v>厚大法考</x:v>
      </x:c>
      <x:c r="B16" s="60" t="str">
        <x:v>向高甲</x:v>
      </x:c>
      <x:c r="C16" s="60" t="str">
        <x:v>2026 刑诉主观题考点清单（全集）</x:v>
      </x:c>
      <x:c r="D16" s="60" t="str">
        <x:v>主观专题｜已接入渠道</x:v>
      </x:c>
      <x:c r="E16" s="60" t="str">
        <x:v>属于主观题公开课程而非每日一题；保留为刑诉主观题扩展渠道，不计入每日一题数量。</x:v>
      </x:c>
      <x:c r="F16" s="60" t="str">
        <x:v>https://www.bilibili.com/list/526546916?bvid=BV1BwLV6VEfK&amp;oid=116583800311671</x:v>
      </x:c>
    </x:row>
    <x:row r="17" ht="54" customHeight="1">
      <x:c r="A17" s="60" t="str">
        <x:v>方圆众合</x:v>
      </x:c>
      <x:c r="B17" s="60" t="str">
        <x:v>戴鹏</x:v>
      </x:c>
      <x:c r="C17" s="60" t="str">
        <x:v>2026 民诉主观题基础版（29 讲）</x:v>
      </x:c>
      <x:c r="D17" s="60" t="str">
        <x:v>主观专题｜已接入渠道</x:v>
      </x:c>
      <x:c r="E17" s="60" t="str">
        <x:v>公开课明确为 2026 主观题课程，但不是每日一题；作为后续补充案例与答题规则的来源。</x:v>
      </x:c>
      <x:c r="F17" s="60" t="str">
        <x:v>https://www.bilibili.com/video/BV137L16pE4G/</x:v>
      </x:c>
    </x:row>
    <x:row r="18" ht="54" customHeight="1">
      <x:c r="A18" s="60" t="str">
        <x:v>瑞达法考</x:v>
      </x:c>
      <x:c r="B18" s="60" t="str">
        <x:v>宋光明等公开师资</x:v>
      </x:c>
      <x:c r="C18" s="60" t="str">
        <x:v>2026 主观题公开训练</x:v>
      </x:c>
      <x:c r="D18" s="60" t="str">
        <x:v>渠道观察｜渠道预留</x:v>
      </x:c>
      <x:c r="E18" s="60" t="str">
        <x:v>发现无需登录、题面答案可逐题核验的内容后接入。</x:v>
      </x:c>
      <x:c r="F18" s="60" t="str">
        <x:v>https://www.ruidaedu.com/book/</x:v>
      </x:c>
    </x:row>
    <x:row r="19" ht="54" customHeight="1">
      <x:c r="A19" s="60" t="str">
        <x:v>厚大法考</x:v>
      </x:c>
      <x:c r="B19" s="60" t="str">
        <x:v>公开课程师资</x:v>
      </x:c>
      <x:c r="C19" s="60" t="str">
        <x:v>2026 主观题公开训练</x:v>
      </x:c>
      <x:c r="D19" s="60" t="str">
        <x:v>渠道观察｜渠道预留</x:v>
      </x:c>
      <x:c r="E19" s="60" t="str">
        <x:v>不绕过付费、登录或 App 访问限制。</x:v>
      </x:c>
      <x:c r="F19" s="60" t="str">
        <x:v>https://www.houdask.com/</x:v>
      </x:c>
    </x:row>
    <x:row r="20" ht="54" customHeight="1">
      <x:c r="A20" s="60" t="str">
        <x:v>觉晓法考</x:v>
      </x:c>
      <x:c r="B20" s="60" t="str">
        <x:v>公开课程师资</x:v>
      </x:c>
      <x:c r="C20" s="60" t="str">
        <x:v>2026 主观题公开训练</x:v>
      </x:c>
      <x:c r="D20" s="60" t="str">
        <x:v>渠道观察｜渠道预留</x:v>
      </x:c>
      <x:c r="E20" s="60" t="str">
        <x:v>只接入公开、可核验、具有稳定原文入口的内容。</x:v>
      </x:c>
      <x:c r="F20" s="60" t="str">
        <x:v>https://www.juexiaotime.com/official/storyResourses/dist/story-933.html</x:v>
      </x:c>
    </x:row>
    <x:row r="21" ht="54" customHeight="1">
      <x:c r="A21" s="60" t="str">
        <x:v>桑磊法考 / 文都法考</x:v>
      </x:c>
      <x:c r="B21" s="60" t="str">
        <x:v>公开课程师资</x:v>
      </x:c>
      <x:c r="C21" s="60" t="str">
        <x:v>2026 主观题公开资料观察位</x:v>
      </x:c>
      <x:c r="D21" s="60" t="str">
        <x:v>渠道观察｜渠道预留</x:v>
      </x:c>
      <x:c r="E21" s="60" t="str">
        <x:v>预留机构级入口；找到高质量逐题公开资料后拆分为独立渠道。</x:v>
      </x:c>
      <x:c r="F21" s="60" t="str">
        <x:v>https://www.sangleifakao.com/</x:v>
      </x:c>
    </x:row>
  </x:sheetData>
  <x:mergeCells>
    <x:mergeCell ref="A1:F1"/>
    <x:mergeCell ref="A2:F2"/>
  </x:mergeCells>
  <x:pageMargins left="0.7" right="0.7" top="0.75" bottom="0.75" header="0.3" footer="0.3"/>
  <x:tableParts count="1">
    <x:tablePart xmlns:r="http://schemas.openxmlformats.org/officeDocument/2006/relationships" r:id="R33106adf708648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31" hidden="0" customWidth="1"/>
    <x:col min="3" max="3" width="55" hidden="0" customWidth="1"/>
    <x:col min="4" max="4" width="40" hidden="0" customWidth="1"/>
  </x:cols>
  <x:sheetData>
    <x:row r="1" ht="34" customHeight="1">
      <x:c r="A1" s="3" t="str">
        <x:v>字段与可信度说明</x:v>
      </x:c>
      <x:c r="B1" s="3" t="str">
        <x:v>字段与可信度说明</x:v>
      </x:c>
      <x:c r="C1" s="3" t="str">
        <x:v>字段与可信度说明</x:v>
      </x:c>
      <x:c r="D1" s="3" t="str">
        <x:v>字段与可信度说明</x:v>
      </x:c>
    </x:row>
    <x:row r="2" ht="30" customHeight="1">
      <x:c r="A2" s="7" t="str">
        <x:v>用于后续人工追加、核验和增量更新</x:v>
      </x:c>
      <x:c r="B2" s="7" t="str">
        <x:v>用于后续人工追加、核验和增量更新</x:v>
      </x:c>
      <x:c r="C2" s="7" t="str">
        <x:v>用于后续人工追加、核验和增量更新</x:v>
      </x:c>
      <x:c r="D2" s="7" t="str">
        <x:v>用于后续人工追加、核验和增量更新</x:v>
      </x:c>
    </x:row>
    <x:row r="3" ht="28" customHeight="1">
      <x:c r="A3" s="56" t="str">
        <x:v>字段</x:v>
      </x:c>
      <x:c r="B3" s="56" t="str">
        <x:v>含义</x:v>
      </x:c>
      <x:c r="C3" s="56" t="str">
        <x:v>填写规则</x:v>
      </x:c>
      <x:c r="D3" s="56" t="str">
        <x:v>示例</x:v>
      </x:c>
    </x:row>
    <x:row r="4" ht="54" customHeight="1">
      <x:c r="A4" s="60" t="str">
        <x:v>完整训练题面</x:v>
      </x:c>
      <x:c r="B4" s="60" t="str">
        <x:v>依据公开原题整理的完整案情与设问</x:v>
      </x:c>
      <x:c r="C4" s="60" t="str">
        <x:v>保留全部作答所需事实；措辞整理不改变法律关系</x:v>
      </x:c>
      <x:c r="D4" s="60" t="str">
        <x:v>案情 + 明确设问</x:v>
      </x:c>
    </x:row>
    <x:row r="5" ht="54" customHeight="1">
      <x:c r="A5" s="60" t="str">
        <x:v>公布答案要旨</x:v>
      </x:c>
      <x:c r="B5" s="60" t="str">
        <x:v>老师或公开解析的完整采分点整理</x:v>
      </x:c>
      <x:c r="C5" s="60" t="str">
        <x:v>忠实保留结论、规则和理由；原页链接单列</x:v>
      </x:c>
      <x:c r="D5" s="60" t="str">
        <x:v>结论 + 规则 + 涵摄</x:v>
      </x:c>
    </x:row>
    <x:row r="6" ht="54" customHeight="1">
      <x:c r="A6" s="60" t="str">
        <x:v>本库完整作答</x:v>
      </x:c>
      <x:c r="B6" s="60" t="str">
        <x:v>便于落笔的结构化完整答案</x:v>
      </x:c>
      <x:c r="C6" s="60" t="str">
        <x:v>结论—规范—涵摄—分支</x:v>
      </x:c>
      <x:c r="D6" s="60" t="str">
        <x:v>先结论，再逐项说明理由</x:v>
      </x:c>
    </x:row>
    <x:row r="7" ht="54" customHeight="1">
      <x:c r="A7" s="60" t="str">
        <x:v>官方公布</x:v>
      </x:c>
      <x:c r="B7" s="60" t="str">
        <x:v>司法行政机关正式公开</x:v>
      </x:c>
      <x:c r="C7" s="60" t="str">
        <x:v>当前主要适用于 2016—2017</x:v>
      </x:c>
      <x:c r="D7" s="60" t="str">
        <x:v>2017 司法考试试卷四</x:v>
      </x:c>
    </x:row>
    <x:row r="8" ht="54" customHeight="1">
      <x:c r="A8" s="60" t="str">
        <x:v>回忆版·多源核验</x:v>
      </x:c>
      <x:c r="B8" s="60" t="str">
        <x:v>考生回忆与教师解析可相互印证</x:v>
      </x:c>
      <x:c r="C8" s="60" t="str">
        <x:v>不得称为官方题面或标准答案</x:v>
      </x:c>
      <x:c r="D8" s="60" t="str">
        <x:v>2018—2025</x:v>
      </x:c>
    </x:row>
    <x:row r="9" ht="54" customHeight="1">
      <x:c r="A9" s="60" t="str">
        <x:v>题面已核验·答案待核验</x:v>
      </x:c>
      <x:c r="B9" s="60" t="str">
        <x:v>题目可见但答案尚未稳定获取</x:v>
      </x:c>
      <x:c r="C9" s="60" t="str">
        <x:v>不推测教师结论</x:v>
      </x:c>
      <x:c r="D9" s="60" t="str">
        <x:v>2026 李佳第 13 题</x:v>
      </x:c>
    </x:row>
    <x:row r="10" ht="54" customHeight="1">
      <x:c r="A10" s="60" t="str">
        <x:v>持续追踪</x:v>
      </x:c>
      <x:c r="B10" s="60" t="str">
        <x:v>尚无可逐题核验的公开主观题归档</x:v>
      </x:c>
      <x:c r="C10" s="60" t="str">
        <x:v>只进入渠道台账，不进入题库正文</x:v>
      </x:c>
      <x:c r="D10" s="60" t="str">
        <x:v>课程内或登录后可见</x:v>
      </x:c>
    </x:row>
  </x:sheetData>
  <x:mergeCells>
    <x:mergeCell ref="A1:D1"/>
    <x:mergeCell ref="A2:D2"/>
  </x:mergeCells>
  <x:pageMargins left="0.7" right="0.7" top="0.75" bottom="0.75" header="0.3" footer="0.3"/>
  <x:tableParts count="1">
    <x:tablePart xmlns:r="http://schemas.openxmlformats.org/officeDocument/2006/relationships" r:id="R0f094fc611ce4146"/>
  </x:tableParts>
</x:worksheet>
</file>