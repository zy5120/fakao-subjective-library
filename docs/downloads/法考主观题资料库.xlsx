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c03e49902ab4699" /></Relationships>
</file>

<file path=xl/workbook.xml><?xml version="1.0" encoding="utf-8"?>
<x:workbook xmlns:x="http://schemas.openxmlformats.org/spreadsheetml/2006/main">
  <x:sheets>
    <x:sheet xmlns:r="http://schemas.openxmlformats.org/officeDocument/2006/relationships" name="总览" sheetId="1" r:id="R0030fc488f0b4d40"/>
    <x:sheet xmlns:r="http://schemas.openxmlformats.org/officeDocument/2006/relationships" name="2026每日一题" sheetId="2" r:id="R109cb3ad0cee49e8"/>
    <x:sheet xmlns:r="http://schemas.openxmlformats.org/officeDocument/2006/relationships" name="历年真题" sheetId="3" r:id="Rdab1ba7493fe49fb"/>
    <x:sheet xmlns:r="http://schemas.openxmlformats.org/officeDocument/2006/relationships" name="机构覆盖" sheetId="4" r:id="Rdfeb4eaae7664679"/>
    <x:sheet xmlns:r="http://schemas.openxmlformats.org/officeDocument/2006/relationships" name="字段说明" sheetId="5" r:id="Radb15ecd6d08424e"/>
  </x:sheets>
</x:workbook>
</file>

<file path=xl/sharedStrings.xml><?xml version="1.0" encoding="utf-8"?>
<x:sst xmlns:x="http://schemas.openxmlformats.org/spreadsheetml/2006/main"/>
</file>

<file path=xl/styles.xml><?xml version="1.0" encoding="utf-8"?>
<x:styleSheet xmlns:x="http://schemas.openxmlformats.org/spreadsheetml/2006/main">
  <x:fonts count="12">
    <x:font>
      <x:sz val="11"/>
      <x:name val="Carlito"/>
    </x:font>
    <x:font>
      <x:b/>
      <x:sz val="18"/>
      <x:color rgb="FFFFFFFF"/>
      <x:name val="Carlito"/>
    </x:font>
    <x:font>
      <x:sz val="10"/>
      <x:color rgb="FF174C38"/>
      <x:name val="Carlito"/>
    </x:font>
    <x:font>
      <x:b/>
      <x:sz val="11"/>
      <x:color rgb="FF174C38"/>
      <x:name val="Carlito"/>
    </x:font>
    <x:font>
      <x:b/>
      <x:sz val="15"/>
      <x:color rgb="FF17211C"/>
      <x:name val="Carlito"/>
    </x:font>
    <x:font>
      <x:b/>
      <x:sz val="11"/>
      <x:color rgb="FF75501A"/>
      <x:name val="Carlito"/>
    </x:font>
    <x:font>
      <x:sz val="10"/>
      <x:color rgb="FF66716B"/>
      <x:name val="Carlito"/>
    </x:font>
    <x:font>
      <x:b/>
      <x:sz val="11"/>
      <x:color rgb="FFFFFFFF"/>
      <x:name val="Carlito"/>
    </x:font>
    <x:font>
      <x:sz val="10"/>
      <x:name val="Carlito"/>
    </x:font>
    <x:font>
      <x:i/>
      <x:sz val="9"/>
      <x:color rgb="FF66716B"/>
      <x:name val="Carlito"/>
    </x:font>
    <x:font>
      <x:b/>
      <x:sz val="10"/>
      <x:color rgb="FF17211C"/>
      <x:name val="Carlito"/>
    </x:font>
    <x:font>
      <x:sz val="9"/>
      <x:color rgb="FF17211C"/>
      <x:name val="Carlito"/>
    </x:font>
  </x:fonts>
  <x:fills count="7">
    <x:fill>
      <x:patternFill patternType="none"/>
    </x:fill>
    <x:fill>
      <x:patternFill patternType="gray125"/>
    </x:fill>
    <x:fill>
      <x:patternFill patternType="solid">
        <x:fgColor rgb="FF174C38"/>
      </x:patternFill>
    </x:fill>
    <x:fill>
      <x:patternFill patternType="solid">
        <x:fgColor rgb="FFE5EEE7"/>
      </x:patternFill>
    </x:fill>
    <x:fill>
      <x:patternFill patternType="solid">
        <x:fgColor rgb="FFF5EAD7"/>
      </x:patternFill>
    </x:fill>
    <x:fill>
      <x:patternFill patternType="solid">
        <x:fgColor rgb="FFF4F1E8"/>
      </x:patternFill>
    </x:fill>
    <x:fill>
      <x:patternFill patternType="solid">
        <x:fgColor rgb="FFDCE7E0"/>
      </x:patternFill>
    </x:fill>
  </x:fills>
  <x:borders count="10">
    <x:border/>
    <x:border>
      <x:left style="thin">
        <x:color rgb="FFD8DDD9"/>
      </x:left>
      <x:right style="thin">
        <x:color rgb="FFD8DDD9"/>
      </x:right>
      <x:top style="thin">
        <x:color rgb="FFD8DDD9"/>
      </x:top>
      <x:bottom style="thin">
        <x:color rgb="FFD8DDD9"/>
      </x:bottom>
    </x:border>
    <x:border>
      <x:left style="thin">
        <x:color rgb="FFD8DDD9"/>
      </x:left>
      <x:top style="thin">
        <x:color rgb="FFD8DDD9"/>
      </x:top>
    </x:border>
    <x:border>
      <x:top style="thin">
        <x:color rgb="FFD8DDD9"/>
      </x:top>
    </x:border>
    <x:border>
      <x:right style="thin">
        <x:color rgb="FFD8DDD9"/>
      </x:right>
      <x:top style="thin">
        <x:color rgb="FFD8DDD9"/>
      </x:top>
    </x:border>
    <x:border>
      <x:left style="thin">
        <x:color rgb="FFD8DDD9"/>
      </x:left>
    </x:border>
    <x:border>
      <x:right style="thin">
        <x:color rgb="FFD8DDD9"/>
      </x:right>
    </x:border>
    <x:border>
      <x:left style="thin">
        <x:color rgb="FFD8DDD9"/>
      </x:left>
      <x:bottom style="thin">
        <x:color rgb="FFD8DDD9"/>
      </x:bottom>
    </x:border>
    <x:border>
      <x:bottom style="thin">
        <x:color rgb="FFD8DDD9"/>
      </x:bottom>
    </x:border>
    <x:border>
      <x:right style="thin">
        <x:color rgb="FFD8DDD9"/>
      </x:right>
      <x:bottom style="thin">
        <x:color rgb="FFD8DDD9"/>
      </x:bottom>
    </x:border>
  </x:borders>
  <x:cellStyleXfs count="1">
    <x:xf numFmtId="0" fontId="0" fillId="0" borderId="0"/>
  </x:cellStyleXfs>
  <x:cellXfs count="6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0" borderId="1" xfId="0" applyNumberFormat="1" applyFont="1" applyFill="1" applyBorder="1"/>
    <x:xf numFmtId="0" fontId="0" fillId="0" borderId="1" xfId="0" applyNumberFormat="1" applyFont="1" applyFill="1" applyBorder="1" applyAlignment="1">
      <x:alignment vertical="center"/>
    </x:xf>
    <x:xf numFmtId="0" fontId="0" fillId="3" borderId="1" xfId="0" applyNumberFormat="1" applyFont="1" applyFill="1" applyBorder="1" applyAlignment="1">
      <x:alignment vertical="center"/>
    </x:xf>
    <x:xf numFmtId="0" fontId="3" fillId="3" borderId="1" xfId="0" applyNumberFormat="1" applyFont="1" applyFill="1" applyBorder="1" applyAlignment="1">
      <x:alignment vertical="center"/>
    </x:xf>
    <x:xf numFmtId="0" fontId="4" fillId="0" borderId="1" xfId="0" applyNumberFormat="1" applyFont="1" applyFill="1" applyBorder="1" applyAlignment="1">
      <x:alignment vertical="center"/>
    </x:xf>
    <x:xf numFmtId="0" fontId="4" fillId="0" borderId="1" xfId="0" applyNumberFormat="1" applyFont="1" applyFill="1" applyBorder="1" applyAlignment="1">
      <x:alignment horizontal="center" vertical="center"/>
    </x:xf>
    <x:xf numFmtId="0" fontId="0" fillId="4" borderId="0" xfId="0" applyNumberFormat="1" applyFont="1" applyFill="1" applyBorder="1"/>
    <x:xf numFmtId="0" fontId="5" fillId="4" borderId="0" xfId="0" applyNumberFormat="1" applyFont="1" applyFill="1" applyBorder="1"/>
    <x:xf numFmtId="0" fontId="6" fillId="0" borderId="0" xfId="0" applyNumberFormat="1" applyFont="1" applyFill="1" applyBorder="1"/>
    <x:xf numFmtId="0" fontId="6" fillId="0" borderId="2" xfId="0" applyNumberFormat="1" applyFont="1" applyFill="1" applyBorder="1"/>
    <x:xf numFmtId="0" fontId="6" fillId="0" borderId="3" xfId="0" applyNumberFormat="1" applyFont="1" applyFill="1" applyBorder="1"/>
    <x:xf numFmtId="0" fontId="6" fillId="0" borderId="4" xfId="0" applyNumberFormat="1" applyFont="1" applyFill="1" applyBorder="1"/>
    <x:xf numFmtId="0" fontId="6" fillId="0" borderId="5" xfId="0" applyNumberFormat="1" applyFont="1" applyFill="1" applyBorder="1"/>
    <x:xf numFmtId="0" fontId="6" fillId="0" borderId="6" xfId="0" applyNumberFormat="1" applyFont="1" applyFill="1" applyBorder="1"/>
    <x:xf numFmtId="0" fontId="6" fillId="0" borderId="7" xfId="0" applyNumberFormat="1" applyFont="1" applyFill="1" applyBorder="1"/>
    <x:xf numFmtId="0" fontId="6" fillId="0" borderId="8" xfId="0" applyNumberFormat="1" applyFont="1" applyFill="1" applyBorder="1"/>
    <x:xf numFmtId="0" fontId="6" fillId="0" borderId="9" xfId="0" applyNumberFormat="1" applyFont="1" applyFill="1" applyBorder="1"/>
    <x:xf numFmtId="0" fontId="6" fillId="0" borderId="2" xfId="0" applyNumberFormat="1" applyFont="1" applyFill="1" applyBorder="1" applyAlignment="1">
      <x:alignment wrapText="1"/>
    </x:xf>
    <x:xf numFmtId="0" fontId="6" fillId="0" borderId="3" xfId="0" applyNumberFormat="1" applyFont="1" applyFill="1" applyBorder="1" applyAlignment="1">
      <x:alignment wrapText="1"/>
    </x:xf>
    <x:xf numFmtId="0" fontId="6" fillId="0" borderId="4" xfId="0" applyNumberFormat="1" applyFont="1" applyFill="1" applyBorder="1" applyAlignment="1">
      <x:alignment wrapText="1"/>
    </x:xf>
    <x:xf numFmtId="0" fontId="6" fillId="0" borderId="5" xfId="0" applyNumberFormat="1" applyFont="1" applyFill="1" applyBorder="1" applyAlignment="1">
      <x:alignment wrapText="1"/>
    </x:xf>
    <x:xf numFmtId="0" fontId="6" fillId="0" borderId="0" xfId="0" applyNumberFormat="1" applyFont="1" applyFill="1" applyBorder="1" applyAlignment="1">
      <x:alignment wrapText="1"/>
    </x:xf>
    <x:xf numFmtId="0" fontId="6" fillId="0" borderId="6" xfId="0" applyNumberFormat="1" applyFont="1" applyFill="1" applyBorder="1" applyAlignment="1">
      <x:alignment wrapText="1"/>
    </x:xf>
    <x:xf numFmtId="0" fontId="6" fillId="0" borderId="7" xfId="0" applyNumberFormat="1" applyFont="1" applyFill="1" applyBorder="1" applyAlignment="1">
      <x:alignment wrapText="1"/>
    </x:xf>
    <x:xf numFmtId="0" fontId="6" fillId="0" borderId="8" xfId="0" applyNumberFormat="1" applyFont="1" applyFill="1" applyBorder="1" applyAlignment="1">
      <x:alignment wrapText="1"/>
    </x:xf>
    <x:xf numFmtId="0" fontId="6" fillId="0" borderId="9" xfId="0" applyNumberFormat="1" applyFont="1" applyFill="1" applyBorder="1" applyAlignment="1">
      <x:alignment wrapText="1"/>
    </x:xf>
    <x:xf numFmtId="0" fontId="6" fillId="0" borderId="2" xfId="0" applyNumberFormat="1" applyFont="1" applyFill="1" applyBorder="1" applyAlignment="1">
      <x:alignment vertical="top" wrapText="1"/>
    </x:xf>
    <x:xf numFmtId="0" fontId="6" fillId="0" borderId="3"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0" borderId="5"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6" xfId="0" applyNumberFormat="1" applyFont="1" applyFill="1" applyBorder="1" applyAlignment="1">
      <x:alignment vertical="top" wrapText="1"/>
    </x:xf>
    <x:xf numFmtId="0" fontId="6" fillId="0" borderId="7" xfId="0" applyNumberFormat="1" applyFont="1" applyFill="1" applyBorder="1" applyAlignment="1">
      <x:alignment vertical="top" wrapText="1"/>
    </x:xf>
    <x:xf numFmtId="0" fontId="6" fillId="0" borderId="8" xfId="0" applyNumberFormat="1" applyFont="1" applyFill="1" applyBorder="1" applyAlignment="1">
      <x:alignment vertical="top" wrapText="1"/>
    </x:xf>
    <x:xf numFmtId="0" fontId="6" fillId="0" borderId="9" xfId="0" applyNumberFormat="1" applyFont="1" applyFill="1" applyBorder="1" applyAlignment="1">
      <x:alignment vertical="top" wrapText="1"/>
    </x:xf>
    <x:xf numFmtId="0" fontId="7" fillId="2" borderId="0" xfId="0" applyNumberFormat="1" applyFont="1" applyFill="1" applyBorder="1"/>
    <x:xf numFmtId="0" fontId="7" fillId="2" borderId="1" xfId="0" applyNumberFormat="1" applyFont="1" applyFill="1" applyBorder="1"/>
    <x:xf numFmtId="0" fontId="8" fillId="0" borderId="0" xfId="0" applyNumberFormat="1" applyFont="1" applyFill="1" applyBorder="1"/>
    <x:xf numFmtId="0" fontId="8" fillId="0" borderId="1" xfId="0" applyNumberFormat="1" applyFont="1" applyFill="1" applyBorder="1"/>
    <x:xf numFmtId="0" fontId="8" fillId="0" borderId="1" xfId="0" applyNumberFormat="1" applyFont="1" applyFill="1" applyBorder="1" applyAlignment="1">
      <x:alignment wrapText="1"/>
    </x:xf>
    <x:xf numFmtId="0" fontId="8" fillId="0" borderId="1" xfId="0" applyNumberFormat="1" applyFont="1" applyFill="1" applyBorder="1" applyAlignment="1">
      <x:alignment vertical="top" wrapText="1"/>
    </x:xf>
    <x:xf numFmtId="0" fontId="0" fillId="5" borderId="0" xfId="0" applyNumberFormat="1" applyFont="1" applyFill="1" applyBorder="1"/>
    <x:xf numFmtId="0" fontId="9" fillId="5" borderId="0" xfId="0" applyNumberFormat="1" applyFont="1" applyFill="1" applyBorder="1"/>
    <x:xf numFmtId="0" fontId="9" fillId="5" borderId="0" xfId="0" applyNumberFormat="1" applyFont="1" applyFill="1" applyBorder="1" applyAlignment="1">
      <x:alignment wrapText="1"/>
    </x:xf>
    <x:xf numFmtId="0" fontId="0" fillId="6" borderId="0" xfId="0" applyNumberFormat="1" applyFont="1" applyFill="1" applyBorder="1"/>
    <x:xf numFmtId="0" fontId="10" fillId="6" borderId="0" xfId="0" applyNumberFormat="1" applyFont="1" applyFill="1" applyBorder="1"/>
    <x:xf numFmtId="0" fontId="10" fillId="6" borderId="1" xfId="0" applyNumberFormat="1" applyFont="1" applyFill="1" applyBorder="1"/>
    <x:xf numFmtId="0" fontId="10" fillId="6" borderId="1" xfId="0" applyNumberFormat="1" applyFont="1" applyFill="1" applyBorder="1" applyAlignment="1">
      <x:alignment wrapText="1"/>
    </x:xf>
    <x:xf numFmtId="0" fontId="10" fillId="6" borderId="1" xfId="0" applyNumberFormat="1" applyFont="1" applyFill="1" applyBorder="1" applyAlignment="1">
      <x:alignment vertical="center" wrapText="1"/>
    </x:xf>
    <x:xf numFmtId="0" fontId="11" fillId="0" borderId="0" xfId="0" applyNumberFormat="1" applyFont="1" applyFill="1" applyBorder="1"/>
    <x:xf numFmtId="0" fontId="11" fillId="0" borderId="1" xfId="0" applyNumberFormat="1" applyFont="1" applyFill="1" applyBorder="1"/>
    <x:xf numFmtId="0" fontId="11" fillId="0" borderId="1" xfId="0" applyNumberFormat="1" applyFont="1" applyFill="1" applyBorder="1" applyAlignment="1">
      <x:alignment wrapText="1"/>
    </x:xf>
    <x:xf numFmtId="0" fontId="11" fillId="0" borderId="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289c14c101146fc" /><Relationship Type="http://schemas.openxmlformats.org/officeDocument/2006/relationships/theme" Target="/xl/theme/theme1.xml" Id="R3dfa975dedfc40cd" /><Relationship Type="http://schemas.openxmlformats.org/officeDocument/2006/relationships/sharedStrings" Target="/xl/sharedStrings.xml" Id="Rb79af19562774971" /><Relationship Type="http://schemas.openxmlformats.org/officeDocument/2006/relationships/worksheet" Target="/xl/worksheets/sheet1.xml" Id="R0030fc488f0b4d40" /><Relationship Type="http://schemas.openxmlformats.org/officeDocument/2006/relationships/worksheet" Target="/xl/worksheets/sheet2.xml" Id="R109cb3ad0cee49e8" /><Relationship Type="http://schemas.openxmlformats.org/officeDocument/2006/relationships/worksheet" Target="/xl/worksheets/sheet3.xml" Id="Rdab1ba7493fe49fb" /><Relationship Type="http://schemas.openxmlformats.org/officeDocument/2006/relationships/worksheet" Target="/xl/worksheets/sheet4.xml" Id="Rdfeb4eaae7664679" /><Relationship Type="http://schemas.openxmlformats.org/officeDocument/2006/relationships/worksheet" Target="/xl/worksheets/sheet5.xml" Id="Radb15ecd6d08424e" /></Relationships>
</file>

<file path=xl/tables/table1.xml><?xml version="1.0" encoding="utf-8"?>
<x:table xmlns:x="http://schemas.openxmlformats.org/spreadsheetml/2006/main" id="1" name="DailyQuestionsTable" displayName="DailyQuestionsTable" ref="A3:P24" headerRowCount="1" totalsRowCount="0" totalsRowShown="0">
  <x:tableColumns count="16">
    <x:tableColumn id="1" name="ID"/>
    <x:tableColumn id="2" name="日期"/>
    <x:tableColumn id="3" name="机构"/>
    <x:tableColumn id="4" name="老师"/>
    <x:tableColumn id="5" name="平台"/>
    <x:tableColumn id="6" name="科目"/>
    <x:tableColumn id="7" name="争点"/>
    <x:tableColumn id="8" name="标题"/>
    <x:tableColumn id="9" name="题面摘要"/>
    <x:tableColumn id="10" name="来源答案摘要"/>
    <x:tableColumn id="11" name="主观作答框架"/>
    <x:tableColumn id="12" name="易错点"/>
    <x:tableColumn id="13" name="答案状态"/>
    <x:tableColumn id="14" name="可信度"/>
    <x:tableColumn id="15" name="来源链接"/>
    <x:tableColumn id="16" name="核验日"/>
  </x:tableColumns>
  <x:tableStyleInfo name="TableStyleMedium4" showFirstColumn="0" showLastColumn="0" showRowStripes="1" showColumnStripes="0"/>
</x:table>
</file>

<file path=xl/tables/table2.xml><?xml version="1.0" encoding="utf-8"?>
<x:table xmlns:x="http://schemas.openxmlformats.org/spreadsheetml/2006/main" id="2" name="HistoricalQuestionsTable" displayName="HistoricalQuestionsTable" ref="A3:K60" headerRowCount="1" totalsRowCount="0" totalsRowShown="0">
  <x:tableColumns count="11">
    <x:tableColumn id="1" name="年份"/>
    <x:tableColumn id="2" name="考试名称"/>
    <x:tableColumn id="3" name="题号"/>
    <x:tableColumn id="4" name="科目"/>
    <x:tableColumn id="5" name="争点"/>
    <x:tableColumn id="6" name="题面摘要"/>
    <x:tableColumn id="7" name="答案/作答主线"/>
    <x:tableColumn id="8" name="可信度"/>
    <x:tableColumn id="9" name="题目来源"/>
    <x:tableColumn id="10" name="答案来源"/>
    <x:tableColumn id="11" name="卷别说明"/>
  </x:tableColumns>
  <x:tableStyleInfo name="TableStyleMedium4" showFirstColumn="0" showLastColumn="0" showRowStripes="1" showColumnStripes="0"/>
</x:table>
</file>

<file path=xl/tables/table3.xml><?xml version="1.0" encoding="utf-8"?>
<x:table xmlns:x="http://schemas.openxmlformats.org/spreadsheetml/2006/main" id="3" name="CoverageTable" displayName="CoverageTable" ref="A3:E11" headerRowCount="1" totalsRowCount="0" totalsRowShown="0">
  <x:tableColumns count="5">
    <x:tableColumn id="1" name="机构/系列"/>
    <x:tableColumn id="2" name="老师"/>
    <x:tableColumn id="3" name="状态"/>
    <x:tableColumn id="4" name="核验说明"/>
    <x:tableColumn id="5" name="公开依据"/>
  </x:tableColumns>
  <x:tableStyleInfo name="TableStyleMedium4" showFirstColumn="0" showLastColumn="0" showRowStripes="1" showColumnStripes="0"/>
</x:table>
</file>

<file path=xl/tables/table4.xml><?xml version="1.0" encoding="utf-8"?>
<x:table xmlns:x="http://schemas.openxmlformats.org/spreadsheetml/2006/main" id="4" name="FieldGuideTable" displayName="FieldGuideTable" ref="A3:D10" headerRowCount="1" totalsRowCount="0" totalsRowShown="0">
  <x:tableColumns count="4">
    <x:tableColumn id="1" name="字段"/>
    <x:tableColumn id="2" name="含义"/>
    <x:tableColumn id="3" name="填写规则"/>
    <x:tableColumn id="4" name="示例"/>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62bbff2f4354cd7" /></Relationships>
</file>

<file path=xl/worksheets/_rels/sheet3.xml.rels>&#65279;<?xml version="1.0" encoding="utf-8"?><Relationships xmlns="http://schemas.openxmlformats.org/package/2006/relationships"><Relationship Type="http://schemas.openxmlformats.org/officeDocument/2006/relationships/table" Target="/xl/tables/table2.xml" Id="Rba5e7e09f76b4622" /></Relationships>
</file>

<file path=xl/worksheets/_rels/sheet4.xml.rels>&#65279;<?xml version="1.0" encoding="utf-8"?><Relationships xmlns="http://schemas.openxmlformats.org/package/2006/relationships"><Relationship Type="http://schemas.openxmlformats.org/officeDocument/2006/relationships/table" Target="/xl/tables/table3.xml" Id="R06b7e4d36b45492a" /></Relationships>
</file>

<file path=xl/worksheets/_rels/sheet5.xml.rels>&#65279;<?xml version="1.0" encoding="utf-8"?><Relationships xmlns="http://schemas.openxmlformats.org/package/2006/relationships"><Relationship Type="http://schemas.openxmlformats.org/officeDocument/2006/relationships/table" Target="/xl/tables/table4.xml" Id="Ra0d343b63cc7494a"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16"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3" t="str">
        <x:v>法考主观题资料库｜总览</x:v>
      </x:c>
      <x:c r="B1" s="3" t="str">
        <x:v>法考主观题资料库｜总览</x:v>
      </x:c>
      <x:c r="C1" s="3" t="str">
        <x:v>法考主观题资料库｜总览</x:v>
      </x:c>
      <x:c r="D1" s="3" t="str">
        <x:v>法考主观题资料库｜总览</x:v>
      </x:c>
      <x:c r="E1" s="3" t="str">
        <x:v>法考主观题资料库｜总览</x:v>
      </x:c>
      <x:c r="F1" s="3" t="str">
        <x:v>法考主观题资料库｜总览</x:v>
      </x:c>
      <x:c r="G1" s="3" t="str">
        <x:v>法考主观题资料库｜总览</x:v>
      </x:c>
      <x:c r="H1" s="3" t="str">
        <x:v>法考主观题资料库｜总览</x:v>
      </x:c>
    </x:row>
    <x:row r="2" ht="30" customHeight="1">
      <x:c r="A2" s="7" t="str">
        <x:v>核验截止 2026-08-31｜只收主观题；主客观一体材料仅保留可形成主观陈述的部分</x:v>
      </x:c>
      <x:c r="B2" s="7" t="str">
        <x:v>核验截止 2026-08-31｜只收主观题；主客观一体材料仅保留可形成主观陈述的部分</x:v>
      </x:c>
      <x:c r="C2" s="7" t="str">
        <x:v>核验截止 2026-08-31｜只收主观题；主客观一体材料仅保留可形成主观陈述的部分</x:v>
      </x:c>
      <x:c r="D2" s="7" t="str">
        <x:v>核验截止 2026-08-31｜只收主观题；主客观一体材料仅保留可形成主观陈述的部分</x:v>
      </x:c>
      <x:c r="E2" s="7" t="str">
        <x:v>核验截止 2026-08-31｜只收主观题；主客观一体材料仅保留可形成主观陈述的部分</x:v>
      </x:c>
      <x:c r="F2" s="7" t="str">
        <x:v>核验截止 2026-08-31｜只收主观题；主客观一体材料仅保留可形成主观陈述的部分</x:v>
      </x:c>
      <x:c r="G2" s="7" t="str">
        <x:v>核验截止 2026-08-31｜只收主观题；主客观一体材料仅保留可形成主观陈述的部分</x:v>
      </x:c>
      <x:c r="H2" s="7" t="str">
        <x:v>核验截止 2026-08-31｜只收主观题；主客观一体材料仅保留可形成主观陈述的部分</x:v>
      </x:c>
    </x:row>
    <x:row r="4" ht="27" customHeight="1">
      <x:c r="A4" s="11" t="str">
        <x:v>2026 日练条目</x:v>
      </x:c>
      <x:c r="B4" s="13" t="n">
        <x:f>COUNTA('2026每日一题'!A4:A200)</x:f>
        <x:v>21</x:v>
      </x:c>
      <x:c r="D4" s="15" t="str">
        <x:v>使用说明</x:v>
      </x:c>
      <x:c r="E4" s="15" t="str">
        <x:v>使用说明</x:v>
      </x:c>
      <x:c r="F4" s="15" t="str">
        <x:v>使用说明</x:v>
      </x:c>
      <x:c r="G4" s="15" t="str">
        <x:v>使用说明</x:v>
      </x:c>
      <x:c r="H4" s="15" t="str">
        <x:v>使用说明</x:v>
      </x:c>
    </x:row>
    <x:row r="5" ht="27" customHeight="1">
      <x:c r="A5" s="11" t="str">
        <x:v>历年分题索引</x:v>
      </x:c>
      <x:c r="B5" s="13" t="n">
        <x:f>COUNTA('历年真题'!A4:A300)</x:f>
        <x:v>57</x:v>
      </x:c>
      <x:c r="D5" s="34"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E5" s="35"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F5" s="35"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G5" s="35"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H5" s="36"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row>
    <x:row r="6" ht="27" customHeight="1">
      <x:c r="A6" s="11" t="str">
        <x:v>结构化条目合计</x:v>
      </x:c>
      <x:c r="B6" s="13" t="n">
        <x:f>SUM(B4:B5)</x:f>
        <x:v>78</x:v>
      </x:c>
      <x:c r="D6" s="37"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E6" s="38"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F6" s="38"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G6" s="38"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H6" s="39"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row>
    <x:row r="7" ht="27" customHeight="1">
      <x:c r="A7" s="11" t="str">
        <x:v>追踪机构/系列</x:v>
      </x:c>
      <x:c r="B7" s="13" t="n">
        <x:f>COUNTA('机构覆盖'!A4:A100)</x:f>
        <x:v>8</x:v>
      </x:c>
      <x:c r="D7" s="40"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E7" s="41"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F7" s="41"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G7" s="41"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c r="H7" s="42" t="str">
        <x:v>仅收录主观题，或主客观一体材料中能够独立形成主观作答的部分；纯客观选择题不入库。题面均为便于检索与复习的结构化摘要，不替代原网页。2016—2017 标注官方公开；2018 年后官方不再公开完整试题与答案，统一按回忆版管理。</x:v>
      </x:c>
    </x:row>
    <x:row r="8" ht="27" customHeight="1"/>
    <x:row r="9" ht="27" customHeight="1"/>
    <x:row r="10" ht="27" customHeight="1">
      <x:c r="A10" s="44" t="str">
        <x:v>资料层</x:v>
      </x:c>
      <x:c r="B10" s="44" t="str">
        <x:v>时间/范围</x:v>
      </x:c>
      <x:c r="C10" s="44" t="str">
        <x:v>题面性质</x:v>
      </x:c>
      <x:c r="D10" s="44" t="str">
        <x:v>建议用法</x:v>
      </x:c>
    </x:row>
    <x:row r="11" ht="27" customHeight="1">
      <x:c r="A11" s="48" t="str">
        <x:v>2026 每日一题</x:v>
      </x:c>
      <x:c r="B11" s="48" t="str">
        <x:v>2026-01-01 至 2026-08-31</x:v>
      </x:c>
      <x:c r="C11" s="48" t="str">
        <x:v>教师/机构公开主观训练</x:v>
      </x:c>
      <x:c r="D11" s="48" t="str">
        <x:v>按科目与争点筛选，先答后看框架</x:v>
      </x:c>
    </x:row>
    <x:row r="12" ht="27" customHeight="1">
      <x:c r="A12" s="48" t="str">
        <x:v>2016—2017</x:v>
      </x:c>
      <x:c r="B12" s="48" t="str">
        <x:v>国家司法考试试卷四</x:v>
      </x:c>
      <x:c r="C12" s="48" t="str">
        <x:v>官方公开</x:v>
      </x:c>
      <x:c r="D12" s="48" t="str">
        <x:v>摘要导航后回原页核对完整题面</x:v>
      </x:c>
    </x:row>
    <x:row r="13" ht="27" customHeight="1">
      <x:c r="A13" s="48" t="str">
        <x:v>2018—2025</x:v>
      </x:c>
      <x:c r="B13" s="48" t="str">
        <x:v>国家统一法律职业资格考试</x:v>
      </x:c>
      <x:c r="C13" s="48" t="str">
        <x:v>公开回忆版</x:v>
      </x:c>
      <x:c r="D13" s="48" t="str">
        <x:v>对卷别和争点保留条件式表述</x:v>
      </x:c>
    </x:row>
    <x:row r="14" ht="27" customHeight="1"/>
    <x:row r="15" ht="27" customHeight="1">
      <x:c r="A15" s="51" t="str">
        <x:v>来源原则：官方优先；公开账号逐题核验；回忆版明确标记；受限平台不绕过登录或付费。</x:v>
      </x:c>
      <x:c r="B15" s="51" t="str">
        <x:v>来源原则：官方优先；公开账号逐题核验；回忆版明确标记；受限平台不绕过登录或付费。</x:v>
      </x:c>
      <x:c r="C15" s="51" t="str">
        <x:v>来源原则：官方优先；公开账号逐题核验；回忆版明确标记；受限平台不绕过登录或付费。</x:v>
      </x:c>
      <x:c r="D15" s="51" t="str">
        <x:v>来源原则：官方优先；公开账号逐题核验；回忆版明确标记；受限平台不绕过登录或付费。</x:v>
      </x:c>
      <x:c r="E15" s="51" t="str">
        <x:v>来源原则：官方优先；公开账号逐题核验；回忆版明确标记；受限平台不绕过登录或付费。</x:v>
      </x:c>
      <x:c r="F15" s="51" t="str">
        <x:v>来源原则：官方优先；公开账号逐题核验；回忆版明确标记；受限平台不绕过登录或付费。</x:v>
      </x:c>
      <x:c r="G15" s="51" t="str">
        <x:v>来源原则：官方优先；公开账号逐题核验；回忆版明确标记；受限平台不绕过登录或付费。</x:v>
      </x:c>
      <x:c r="H15" s="51" t="str">
        <x:v>来源原则：官方优先；公开账号逐题核验；回忆版明确标记；受限平台不绕过登录或付费。</x:v>
      </x:c>
    </x:row>
  </x:sheetData>
  <x:mergeCells>
    <x:mergeCell ref="A1:H1"/>
    <x:mergeCell ref="A2:H2"/>
    <x:mergeCell ref="D4:H4"/>
    <x:mergeCell ref="D5:H7"/>
    <x:mergeCell ref="A15:H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2" hidden="0" customWidth="1"/>
    <x:col min="3" max="3" width="13" hidden="0" customWidth="1"/>
    <x:col min="4" max="4" width="10" hidden="0" customWidth="1"/>
    <x:col min="5" max="5" width="18" hidden="0" customWidth="1"/>
    <x:col min="6" max="6" width="11" hidden="0" customWidth="1"/>
    <x:col min="7" max="7" width="24" hidden="0" customWidth="1"/>
    <x:col min="8" max="8" width="30" hidden="0" customWidth="1"/>
    <x:col min="9" max="9" width="46" hidden="0" customWidth="1"/>
    <x:col min="10" max="10" width="52" hidden="0" customWidth="1"/>
    <x:col min="11" max="11" width="56" hidden="0" customWidth="1"/>
    <x:col min="12" max="12" width="30" hidden="0" customWidth="1"/>
    <x:col min="13" max="13" width="16" hidden="0" customWidth="1"/>
    <x:col min="14" max="14" width="22" hidden="0" customWidth="1"/>
    <x:col min="15" max="15" width="36" hidden="0" customWidth="1"/>
    <x:col min="16" max="16" width="12" hidden="0" customWidth="1"/>
  </x:cols>
  <x:sheetData>
    <x:row r="1" ht="34" customHeight="1">
      <x:c r="A1" s="3" t="str">
        <x:v>2026 主观题每日一题｜公开核验库</x:v>
      </x:c>
      <x:c r="B1" s="3" t="str">
        <x:v>2026 主观题每日一题｜公开核验库</x:v>
      </x:c>
      <x:c r="C1" s="3" t="str">
        <x:v>2026 主观题每日一题｜公开核验库</x:v>
      </x:c>
      <x:c r="D1" s="3" t="str">
        <x:v>2026 主观题每日一题｜公开核验库</x:v>
      </x:c>
      <x:c r="E1" s="3" t="str">
        <x:v>2026 主观题每日一题｜公开核验库</x:v>
      </x:c>
      <x:c r="F1" s="3" t="str">
        <x:v>2026 主观题每日一题｜公开核验库</x:v>
      </x:c>
      <x:c r="G1" s="3" t="str">
        <x:v>2026 主观题每日一题｜公开核验库</x:v>
      </x:c>
      <x:c r="H1" s="3" t="str">
        <x:v>2026 主观题每日一题｜公开核验库</x:v>
      </x:c>
      <x:c r="I1" s="3" t="str">
        <x:v>2026 主观题每日一题｜公开核验库</x:v>
      </x:c>
      <x:c r="J1" s="3" t="str">
        <x:v>2026 主观题每日一题｜公开核验库</x:v>
      </x:c>
      <x:c r="K1" s="3" t="str">
        <x:v>2026 主观题每日一题｜公开核验库</x:v>
      </x:c>
      <x:c r="L1" s="3" t="str">
        <x:v>2026 主观题每日一题｜公开核验库</x:v>
      </x:c>
      <x:c r="M1" s="3" t="str">
        <x:v>2026 主观题每日一题｜公开核验库</x:v>
      </x:c>
      <x:c r="N1" s="3" t="str">
        <x:v>2026 主观题每日一题｜公开核验库</x:v>
      </x:c>
      <x:c r="O1" s="3" t="str">
        <x:v>2026 主观题每日一题｜公开核验库</x:v>
      </x:c>
      <x:c r="P1" s="3" t="str">
        <x:v>2026 主观题每日一题｜公开核验库</x:v>
      </x:c>
    </x:row>
    <x:row r="2" ht="30" customHeight="1">
      <x:c r="A2" s="7" t="str">
        <x:v>来源答案摘要与本库主观作答框架分列；纯客观题不入库</x:v>
      </x:c>
      <x:c r="B2" s="7" t="str">
        <x:v>来源答案摘要与本库主观作答框架分列；纯客观题不入库</x:v>
      </x:c>
      <x:c r="C2" s="7" t="str">
        <x:v>来源答案摘要与本库主观作答框架分列；纯客观题不入库</x:v>
      </x:c>
      <x:c r="D2" s="7" t="str">
        <x:v>来源答案摘要与本库主观作答框架分列；纯客观题不入库</x:v>
      </x:c>
      <x:c r="E2" s="7" t="str">
        <x:v>来源答案摘要与本库主观作答框架分列；纯客观题不入库</x:v>
      </x:c>
      <x:c r="F2" s="7" t="str">
        <x:v>来源答案摘要与本库主观作答框架分列；纯客观题不入库</x:v>
      </x:c>
      <x:c r="G2" s="7" t="str">
        <x:v>来源答案摘要与本库主观作答框架分列；纯客观题不入库</x:v>
      </x:c>
      <x:c r="H2" s="7" t="str">
        <x:v>来源答案摘要与本库主观作答框架分列；纯客观题不入库</x:v>
      </x:c>
      <x:c r="I2" s="7" t="str">
        <x:v>来源答案摘要与本库主观作答框架分列；纯客观题不入库</x:v>
      </x:c>
      <x:c r="J2" s="7" t="str">
        <x:v>来源答案摘要与本库主观作答框架分列；纯客观题不入库</x:v>
      </x:c>
      <x:c r="K2" s="7" t="str">
        <x:v>来源答案摘要与本库主观作答框架分列；纯客观题不入库</x:v>
      </x:c>
      <x:c r="L2" s="7" t="str">
        <x:v>来源答案摘要与本库主观作答框架分列；纯客观题不入库</x:v>
      </x:c>
      <x:c r="M2" s="7" t="str">
        <x:v>来源答案摘要与本库主观作答框架分列；纯客观题不入库</x:v>
      </x:c>
      <x:c r="N2" s="7" t="str">
        <x:v>来源答案摘要与本库主观作答框架分列；纯客观题不入库</x:v>
      </x:c>
      <x:c r="O2" s="7" t="str">
        <x:v>来源答案摘要与本库主观作答框架分列；纯客观题不入库</x:v>
      </x:c>
      <x:c r="P2" s="7" t="str">
        <x:v>来源答案摘要与本库主观作答框架分列；纯客观题不入库</x:v>
      </x:c>
    </x:row>
    <x:row r="3" ht="28" customHeight="1">
      <x:c r="A3" s="56" t="str">
        <x:v>ID</x:v>
      </x:c>
      <x:c r="B3" s="56" t="str">
        <x:v>日期</x:v>
      </x:c>
      <x:c r="C3" s="56" t="str">
        <x:v>机构</x:v>
      </x:c>
      <x:c r="D3" s="56" t="str">
        <x:v>老师</x:v>
      </x:c>
      <x:c r="E3" s="56" t="str">
        <x:v>平台</x:v>
      </x:c>
      <x:c r="F3" s="56" t="str">
        <x:v>科目</x:v>
      </x:c>
      <x:c r="G3" s="56" t="str">
        <x:v>争点</x:v>
      </x:c>
      <x:c r="H3" s="56" t="str">
        <x:v>标题</x:v>
      </x:c>
      <x:c r="I3" s="56" t="str">
        <x:v>题面摘要</x:v>
      </x:c>
      <x:c r="J3" s="56" t="str">
        <x:v>来源答案摘要</x:v>
      </x:c>
      <x:c r="K3" s="56" t="str">
        <x:v>主观作答框架</x:v>
      </x:c>
      <x:c r="L3" s="56" t="str">
        <x:v>易错点</x:v>
      </x:c>
      <x:c r="M3" s="56" t="str">
        <x:v>答案状态</x:v>
      </x:c>
      <x:c r="N3" s="56" t="str">
        <x:v>可信度</x:v>
      </x:c>
      <x:c r="O3" s="56" t="str">
        <x:v>来源链接</x:v>
      </x:c>
      <x:c r="P3" s="56" t="str">
        <x:v>核验日</x:v>
      </x:c>
    </x:row>
    <x:row r="4" ht="54" customHeight="1">
      <x:c r="A4" s="60" t="str">
        <x:v>2026-lijia-01</x:v>
      </x:c>
      <x:c r="B4" s="60" t="str">
        <x:v>2026-08-18</x:v>
      </x:c>
      <x:c r="C4" s="60" t="str">
        <x:v>方圆众合</x:v>
      </x:c>
      <x:c r="D4" s="60" t="str">
        <x:v>李佳</x:v>
      </x:c>
      <x:c r="E4" s="60" t="str">
        <x:v>微博公开页（新浪镜像）</x:v>
      </x:c>
      <x:c r="F4" s="60" t="str">
        <x:v>行政法</x:v>
      </x:c>
      <x:c r="G4" s="60" t="str">
        <x:v>政府信息公开、复议前置</x:v>
      </x:c>
      <x:c r="H4" s="60" t="str">
        <x:v>第 1 题｜过程性信息不公开后的救济路径</x:v>
      </x:c>
      <x:c r="I4" s="60" t="str">
        <x:v>申请人请求公开行政机关在案件办理中形成的过程性材料，机关以过程性信息为由不予公开。申请人应如何选择复议或诉讼，复议前置如何判断？</x:v>
      </x:c>
      <x:c r="J4" s="60" t="str">
        <x:v>公开答案的核心是：信息公开答复通常可以申请行政复议；若争议属于法律规定的复议前置事项，应先复议，不能直接起诉。</x:v>
      </x:c>
      <x:c r="K4" s="60" t="str">
        <x:v>1. 先识别被诉行为：针对信息公开申请作出的不予公开答复。
2. 再审查信息属性与不公开理由是否有规范依据，不能只以材料处在办理过程中作形式判断。
3. 最后判断救济路径；属于复议前置范围时，起诉前必须先申请复议。</x:v>
      </x:c>
      <x:c r="L4" s="60" t="str">
        <x:v>把“可以复议”和“必须先复议”混为一谈。</x:v>
      </x:c>
      <x:c r="M4" s="60" t="str">
        <x:v>已核验</x:v>
      </x:c>
      <x:c r="N4" s="60" t="str">
        <x:v>公开账号·已核验</x:v>
      </x:c>
      <x:c r="O4" s="60" t="str">
        <x:v>https://www.sina.cn/media/1552849431</x:v>
      </x:c>
      <x:c r="P4" s="60" t="str">
        <x:v>2026-08-31</x:v>
      </x:c>
    </x:row>
    <x:row r="5" ht="54" customHeight="1">
      <x:c r="A5" s="60" t="str">
        <x:v>2026-lijia-02</x:v>
      </x:c>
      <x:c r="B5" s="60" t="str">
        <x:v>2026-08-19</x:v>
      </x:c>
      <x:c r="C5" s="60" t="str">
        <x:v>方圆众合</x:v>
      </x:c>
      <x:c r="D5" s="60" t="str">
        <x:v>李佳</x:v>
      </x:c>
      <x:c r="E5" s="60" t="str">
        <x:v>微博公开页（新浪镜像）</x:v>
      </x:c>
      <x:c r="F5" s="60" t="str">
        <x:v>行政法</x:v>
      </x:c>
      <x:c r="G5" s="60" t="str">
        <x:v>行政委托、被告资格</x:v>
      </x:c>
      <x:c r="H5" s="60" t="str">
        <x:v>第 2 题｜“授权”行业协会实施检查，谁当被告</x:v>
      </x:c>
      <x:c r="I5" s="60" t="str">
        <x:v>市市场监管局以文件“授权”食品行业协会开展检查并对企业作出处理，企业起诉时应列谁为被告？</x:v>
      </x:c>
      <x:c r="J5" s="60" t="str">
        <x:v>协会没有法律、法规或规章授权时，所谓“授权”按行政委托处理，法律责任由委托机关承担，被告是市场监管局。</x:v>
      </x:c>
      <x:c r="K5" s="60" t="str">
        <x:v>1. 授权来源必须是法律、法规或规章，行政机关自己的文件不能创设行政授权。
2. 无规范授权时，协会属于受委托组织，以委托机关名义实施行为。
3. 诉讼中由委托的市场监管局作为被告。</x:v>
      </x:c>
      <x:c r="L5" s="60" t="str">
        <x:v>仅凭文件使用“授权”二字就把协会列为被告。</x:v>
      </x:c>
      <x:c r="M5" s="60" t="str">
        <x:v>已核验</x:v>
      </x:c>
      <x:c r="N5" s="60" t="str">
        <x:v>公开账号·已核验</x:v>
      </x:c>
      <x:c r="O5" s="60" t="str">
        <x:v>https://www.sina.cn/media/1552849431</x:v>
      </x:c>
      <x:c r="P5" s="60" t="str">
        <x:v>2026-08-31</x:v>
      </x:c>
    </x:row>
    <x:row r="6" ht="54" customHeight="1">
      <x:c r="A6" s="60" t="str">
        <x:v>2026-lijia-03</x:v>
      </x:c>
      <x:c r="B6" s="60" t="str">
        <x:v>2026-08-20</x:v>
      </x:c>
      <x:c r="C6" s="60" t="str">
        <x:v>方圆众合</x:v>
      </x:c>
      <x:c r="D6" s="60" t="str">
        <x:v>李佳</x:v>
      </x:c>
      <x:c r="E6" s="60" t="str">
        <x:v>微博公开页（新浪镜像）</x:v>
      </x:c>
      <x:c r="F6" s="60" t="str">
        <x:v>行政法</x:v>
      </x:c>
      <x:c r="G6" s="60" t="str">
        <x:v>土地使用权收回、行为定性</x:v>
      </x:c>
      <x:c r="H6" s="60" t="str">
        <x:v>第 3 题｜收回国有土地使用权的行为性质</x:v>
      </x:c>
      <x:c r="I6" s="60" t="str">
        <x:v>政府因公共利益或因土地长期未开发而收回国有土地使用权，两种情形应如何分别定性？</x:v>
      </x:c>
      <x:c r="J6" s="60" t="str">
        <x:v>因公共利益依法收回，核心是行政征收并涉及补偿；因违反开发义务收回，应结合规范目的和是否具有惩戒性判断，不宜机械统一归类。</x:v>
      </x:c>
      <x:c r="K6" s="60" t="str">
        <x:v>1. 先找收回依据和直接目的。
2. 公共利益收回属于对既有财产权的征收，应依法补偿。
3. 闲置或未开发收回要审查是否以违法为前提、是否具有制裁性，并据此判断处罚或其他行政处理。</x:v>
      </x:c>
      <x:c r="L6" s="60" t="str">
        <x:v>只看结果都是“收回”，忽略行为目的与法律依据。</x:v>
      </x:c>
      <x:c r="M6" s="60" t="str">
        <x:v>已核验</x:v>
      </x:c>
      <x:c r="N6" s="60" t="str">
        <x:v>公开账号·已核验</x:v>
      </x:c>
      <x:c r="O6" s="60" t="str">
        <x:v>https://www.sina.cn/media/1552849431</x:v>
      </x:c>
      <x:c r="P6" s="60" t="str">
        <x:v>2026-08-31</x:v>
      </x:c>
    </x:row>
    <x:row r="7" ht="54" customHeight="1">
      <x:c r="A7" s="60" t="str">
        <x:v>2026-lijia-04</x:v>
      </x:c>
      <x:c r="B7" s="60" t="str">
        <x:v>2026-08-21</x:v>
      </x:c>
      <x:c r="C7" s="60" t="str">
        <x:v>方圆众合</x:v>
      </x:c>
      <x:c r="D7" s="60" t="str">
        <x:v>李佳</x:v>
      </x:c>
      <x:c r="E7" s="60" t="str">
        <x:v>微博公开页（新浪镜像）</x:v>
      </x:c>
      <x:c r="F7" s="60" t="str">
        <x:v>行政法</x:v>
      </x:c>
      <x:c r="G7" s="60" t="str">
        <x:v>行政强制措施、被告、管辖</x:v>
      </x:c>
      <x:c r="H7" s="60" t="str">
        <x:v>第 4 题｜依据内部指令扣押冰柜的被告与管辖</x:v>
      </x:c>
      <x:c r="I7" s="60" t="str">
        <x:v>城管执法人员依据上级内部指令扣押经营者冰柜，经营者起诉扣押行为，应如何确定被告和管辖法院？</x:v>
      </x:c>
      <x:c r="J7" s="60" t="str">
        <x:v>对外作出扣押并署名的城管机关承担责任；内部指令通常不直接改变被告。地域管辖围绕作出强制措施机关所在地及不动产专属管辖是否适用判断。</x:v>
      </x:c>
      <x:c r="K7" s="60" t="str">
        <x:v>1. 锁定对外实施扣押的行政机关，内部请示或指令不是当然的外部行政行为。
2. 扣押属于行政强制措施，应审查权限、批准、清单、保管和期限。
3. 按行政诉讼一般地域管辖判断；冰柜是动产，不适用不动产案件专属管辖。</x:v>
      </x:c>
      <x:c r="L7" s="60" t="str">
        <x:v>把作出内部指令的上级机关直接列为被告。</x:v>
      </x:c>
      <x:c r="M7" s="60" t="str">
        <x:v>已核验</x:v>
      </x:c>
      <x:c r="N7" s="60" t="str">
        <x:v>公开账号·已核验</x:v>
      </x:c>
      <x:c r="O7" s="60" t="str">
        <x:v>https://www.sina.cn/media/1552849431</x:v>
      </x:c>
      <x:c r="P7" s="60" t="str">
        <x:v>2026-08-31</x:v>
      </x:c>
    </x:row>
    <x:row r="8" ht="54" customHeight="1">
      <x:c r="A8" s="60" t="str">
        <x:v>2026-lijia-05</x:v>
      </x:c>
      <x:c r="B8" s="60" t="str">
        <x:v>2026-08-22</x:v>
      </x:c>
      <x:c r="C8" s="60" t="str">
        <x:v>方圆众合</x:v>
      </x:c>
      <x:c r="D8" s="60" t="str">
        <x:v>李佳</x:v>
      </x:c>
      <x:c r="E8" s="60" t="str">
        <x:v>微博公开页（新浪镜像）</x:v>
      </x:c>
      <x:c r="F8" s="60" t="str">
        <x:v>行政法</x:v>
      </x:c>
      <x:c r="G8" s="60" t="str">
        <x:v>政府信息公开、机构名义</x:v>
      </x:c>
      <x:c r="H8" s="60" t="str">
        <x:v>第 5 题｜区政府信息公开办公室能否独立当被告</x:v>
      </x:c>
      <x:c r="I8" s="60" t="str">
        <x:v>区政府信息公开办公室以自己名义作出答复，申请人不服时，如何判断被告及答复期限、答复义务？</x:v>
      </x:c>
      <x:c r="J8" s="60" t="str">
        <x:v>应看该办公室是否具有独立行政主体资格；通常作为区政府内部机构，其答复法律后果由区政府承担。答复还需符合期限和分类处理要求。</x:v>
      </x:c>
      <x:c r="K8" s="60" t="str">
        <x:v>1. 先审查机构是否依法具有独立主体资格，而非只看盖章名称。
2. 内部工作机构以自己名义答复，通常仍由所属区政府承担责任。
3. 同步审查是否在法定期限内作出、是否检索充分并说明不公开或不存在的理由。</x:v>
      </x:c>
      <x:c r="L8" s="60" t="str">
        <x:v>只看落款，不判断组织法地位。</x:v>
      </x:c>
      <x:c r="M8" s="60" t="str">
        <x:v>已核验</x:v>
      </x:c>
      <x:c r="N8" s="60" t="str">
        <x:v>公开账号·已核验</x:v>
      </x:c>
      <x:c r="O8" s="60" t="str">
        <x:v>https://www.sina.cn/media/1552849431</x:v>
      </x:c>
      <x:c r="P8" s="60" t="str">
        <x:v>2026-08-31</x:v>
      </x:c>
    </x:row>
    <x:row r="9" ht="54" customHeight="1">
      <x:c r="A9" s="60" t="str">
        <x:v>2026-lijia-06</x:v>
      </x:c>
      <x:c r="B9" s="60" t="str">
        <x:v>2026-08-23</x:v>
      </x:c>
      <x:c r="C9" s="60" t="str">
        <x:v>方圆众合</x:v>
      </x:c>
      <x:c r="D9" s="60" t="str">
        <x:v>李佳</x:v>
      </x:c>
      <x:c r="E9" s="60" t="str">
        <x:v>微博公开页（新浪镜像）</x:v>
      </x:c>
      <x:c r="F9" s="60" t="str">
        <x:v>行政法</x:v>
      </x:c>
      <x:c r="G9" s="60" t="str">
        <x:v>未成年人、行政处罚、强制措施</x:v>
      </x:c>
      <x:c r="H9" s="60" t="str">
        <x:v>第 6 题｜17 岁观众冲入演出区域的行政处理</x:v>
      </x:c>
      <x:c r="I9" s="60" t="str">
        <x:v>17 岁观众在演出现场冲入管控区域，公安机关采取控制措施并拟处罚。应如何判断强制措施、处罚责任及程序？</x:v>
      </x:c>
      <x:c r="J9" s="60" t="str">
        <x:v>现场控制措施与后续处罚须分开评价。17 周岁属于可承担行政处罚责任的年龄段，但依法应从轻或减轻，并保障监护人通知等程序。</x:v>
      </x:c>
      <x:c r="K9" s="60" t="str">
        <x:v>1. 先区分即时制止、传唤等强制措施和最终行政处罚。
2. 年龄影响责任与裁量：已满十四周岁不满十八周岁，应依法从轻或减轻处罚。
3. 审查身份告知、听取陈述申辩、监护人通知及记录等程序。</x:v>
      </x:c>
      <x:c r="L9" s="60" t="str">
        <x:v>认为未满十八周岁一律不处罚。</x:v>
      </x:c>
      <x:c r="M9" s="60" t="str">
        <x:v>已核验</x:v>
      </x:c>
      <x:c r="N9" s="60" t="str">
        <x:v>公开账号·已核验</x:v>
      </x:c>
      <x:c r="O9" s="60" t="str">
        <x:v>https://www.sina.cn/media/1552849431</x:v>
      </x:c>
      <x:c r="P9" s="60" t="str">
        <x:v>2026-08-31</x:v>
      </x:c>
    </x:row>
    <x:row r="10" ht="54" customHeight="1">
      <x:c r="A10" s="60" t="str">
        <x:v>2026-lijia-07</x:v>
      </x:c>
      <x:c r="B10" s="60" t="str">
        <x:v>2026-08-24</x:v>
      </x:c>
      <x:c r="C10" s="60" t="str">
        <x:v>方圆众合</x:v>
      </x:c>
      <x:c r="D10" s="60" t="str">
        <x:v>李佳</x:v>
      </x:c>
      <x:c r="E10" s="60" t="str">
        <x:v>微博公开页（新浪镜像）</x:v>
      </x:c>
      <x:c r="F10" s="60" t="str">
        <x:v>行政法</x:v>
      </x:c>
      <x:c r="G10" s="60" t="str">
        <x:v>经批准行为、被告资格</x:v>
      </x:c>
      <x:c r="H10" s="60" t="str">
        <x:v>第 7 题｜下级报批、上级批准后由谁作被告</x:v>
      </x:c>
      <x:c r="I10" s="60" t="str">
        <x:v>金融监管派出机构拟定处理意见并报上级批准，最终决定以某机关名义对外送达。被诉时如何确定被告？</x:v>
      </x:c>
      <x:c r="J10" s="60" t="str">
        <x:v>经批准案件不能只看内部审批链条，应依行政诉讼规则和最终对外署名确定责任机关；公开答案强调以对外作出决定的机关为中心判断。</x:v>
      </x:c>
      <x:c r="K10" s="60" t="str">
        <x:v>1. 区分内部批准与对外行政决定。
2. 核对决定书署名、印章和法定权限，确定谁对外形成法律效果。
3. 在被告正确后，再审查事实、法律适用与报批程序是否合法。</x:v>
      </x:c>
      <x:c r="L10" s="60" t="str">
        <x:v>把所有内部参与机关都列为共同被告。</x:v>
      </x:c>
      <x:c r="M10" s="60" t="str">
        <x:v>已核验</x:v>
      </x:c>
      <x:c r="N10" s="60" t="str">
        <x:v>公开账号·已核验</x:v>
      </x:c>
      <x:c r="O10" s="60" t="str">
        <x:v>https://www.sina.cn/media/1552849431</x:v>
      </x:c>
      <x:c r="P10" s="60" t="str">
        <x:v>2026-08-31</x:v>
      </x:c>
    </x:row>
    <x:row r="11" ht="54" customHeight="1">
      <x:c r="A11" s="60" t="str">
        <x:v>2026-lijia-08</x:v>
      </x:c>
      <x:c r="B11" s="60" t="str">
        <x:v>2026-08-25</x:v>
      </x:c>
      <x:c r="C11" s="60" t="str">
        <x:v>方圆众合</x:v>
      </x:c>
      <x:c r="D11" s="60" t="str">
        <x:v>李佳</x:v>
      </x:c>
      <x:c r="E11" s="60" t="str">
        <x:v>微博公开页（新浪镜像）</x:v>
      </x:c>
      <x:c r="F11" s="60" t="str">
        <x:v>行政法</x:v>
      </x:c>
      <x:c r="G11" s="60" t="str">
        <x:v>行政许可、撤回撤销、法不溯及既往</x:v>
      </x:c>
      <x:c r="H11" s="60" t="str">
        <x:v>第 8 题｜无期限演出许可遇到新规</x:v>
      </x:c>
      <x:c r="I11" s="60" t="str">
        <x:v>经营者取得未载明期限的演出许可，后来新规改变许可条件，行政机关拟取消许可。行为性质和时间效力如何判断？</x:v>
      </x:c>
      <x:c r="J11" s="60" t="str">
        <x:v>取消许可不因产生不利后果就当然属于行政处罚；需在撤回、撤销、注销等制度中依原因定性，并遵守新法不溯及既往和信赖保护。</x:v>
      </x:c>
      <x:c r="K11" s="60" t="str">
        <x:v>1. 以取消原因定性：违法取得可能撤销，公共利益或依据变化可能撤回，法定终止情形才是注销。
2. 行政处罚要求惩戒性，单纯终止许可通常不是处罚。
3. 新规原则上规范生效后的事项，对既有许可应考虑信赖保护与补偿。</x:v>
      </x:c>
      <x:c r="L11" s="60" t="str">
        <x:v>把所有“取消许可证”都写成吊销许可证的行政处罚。</x:v>
      </x:c>
      <x:c r="M11" s="60" t="str">
        <x:v>已核验</x:v>
      </x:c>
      <x:c r="N11" s="60" t="str">
        <x:v>公开账号·已核验</x:v>
      </x:c>
      <x:c r="O11" s="60" t="str">
        <x:v>https://www.sina.cn/media/1552849431</x:v>
      </x:c>
      <x:c r="P11" s="60" t="str">
        <x:v>2026-08-31</x:v>
      </x:c>
    </x:row>
    <x:row r="12" ht="54" customHeight="1">
      <x:c r="A12" s="60" t="str">
        <x:v>2026-lijia-09</x:v>
      </x:c>
      <x:c r="B12" s="60" t="str">
        <x:v>2026-08-26</x:v>
      </x:c>
      <x:c r="C12" s="60" t="str">
        <x:v>方圆众合</x:v>
      </x:c>
      <x:c r="D12" s="60" t="str">
        <x:v>李佳</x:v>
      </x:c>
      <x:c r="E12" s="60" t="str">
        <x:v>微博公开页（新浪镜像）</x:v>
      </x:c>
      <x:c r="F12" s="60" t="str">
        <x:v>行政法</x:v>
      </x:c>
      <x:c r="G12" s="60" t="str">
        <x:v>机构职权变更、被告变更、裁判方式</x:v>
      </x:c>
      <x:c r="H12" s="60" t="str">
        <x:v>第 9 题｜预售许可争议中机构职权调整</x:v>
      </x:c>
      <x:c r="I12" s="60" t="str">
        <x:v>当事人起诉商品房预售许可机关后，相关职权发生调整；法院告知变更被告而原告拒绝。法院如何处理？</x:v>
      </x:c>
      <x:c r="J12" s="60" t="str">
        <x:v>行政职权变更后由继续行使该职权的机关承受诉讼责任；经释明原告拒绝变更错误被告的，可裁定驳回起诉。</x:v>
      </x:c>
      <x:c r="K12" s="60" t="str">
        <x:v>1. 先查职权调整文件，确定现由哪个机关继续行使涉案职权。
2. 法院应释明并给予原告变更被告的机会。
3. 原告无正当理由拒绝变更，起诉不符法定条件，裁定驳回。</x:v>
      </x:c>
      <x:c r="L12" s="60" t="str">
        <x:v>直接判决驳回诉讼请求，混淆实体裁判和起诉条件。</x:v>
      </x:c>
      <x:c r="M12" s="60" t="str">
        <x:v>已核验</x:v>
      </x:c>
      <x:c r="N12" s="60" t="str">
        <x:v>公开账号·已核验</x:v>
      </x:c>
      <x:c r="O12" s="60" t="str">
        <x:v>https://www.sina.cn/media/1552849431</x:v>
      </x:c>
      <x:c r="P12" s="60" t="str">
        <x:v>2026-08-31</x:v>
      </x:c>
    </x:row>
    <x:row r="13" ht="54" customHeight="1">
      <x:c r="A13" s="60" t="str">
        <x:v>2026-lijia-10</x:v>
      </x:c>
      <x:c r="B13" s="60" t="str">
        <x:v>2026-08-27</x:v>
      </x:c>
      <x:c r="C13" s="60" t="str">
        <x:v>方圆众合</x:v>
      </x:c>
      <x:c r="D13" s="60" t="str">
        <x:v>李佳</x:v>
      </x:c>
      <x:c r="E13" s="60" t="str">
        <x:v>微博公开页（新浪镜像）</x:v>
      </x:c>
      <x:c r="F13" s="60" t="str">
        <x:v>行政法</x:v>
      </x:c>
      <x:c r="G13" s="60" t="str">
        <x:v>行政许可撤销、资格限制</x:v>
      </x:c>
      <x:c r="H13" s="60" t="str">
        <x:v>第 10 题｜骗领驾驶证被撤销并三年禁申</x:v>
      </x:c>
      <x:c r="I13" s="60" t="str">
        <x:v>申请人以欺骗手段取得驾驶证，行政机关撤销许可并告知三年内不得再次申请。两项后果的性质如何判断？</x:v>
      </x:c>
      <x:c r="J13" s="60" t="str">
        <x:v>因欺骗取得许可而撤销，是许可纠错机制，并非当然属于行政处罚；三年禁申是法律规定的资格限制后果，应分别审查依据。</x:v>
      </x:c>
      <x:c r="K13" s="60" t="str">
        <x:v>1. 撤销针对原许可取得违法，功能是纠正违法授益行为。
2. 是否构成处罚取决于规范定性与惩戒性，不能只看不利后果。
3. 三年禁申须有明确法律依据，并审查告知、听取意见等程序。</x:v>
      </x:c>
      <x:c r="L13" s="60" t="str">
        <x:v>把撤销许可与吊销许可证混为同一种处罚。</x:v>
      </x:c>
      <x:c r="M13" s="60" t="str">
        <x:v>已核验</x:v>
      </x:c>
      <x:c r="N13" s="60" t="str">
        <x:v>公开账号·已核验</x:v>
      </x:c>
      <x:c r="O13" s="60" t="str">
        <x:v>https://www.sina.cn/media/1552849431</x:v>
      </x:c>
      <x:c r="P13" s="60" t="str">
        <x:v>2026-08-31</x:v>
      </x:c>
    </x:row>
    <x:row r="14" ht="54" customHeight="1">
      <x:c r="A14" s="60" t="str">
        <x:v>2026-lijia-11</x:v>
      </x:c>
      <x:c r="B14" s="60" t="str">
        <x:v>2026-08-28</x:v>
      </x:c>
      <x:c r="C14" s="60" t="str">
        <x:v>方圆众合</x:v>
      </x:c>
      <x:c r="D14" s="60" t="str">
        <x:v>李佳</x:v>
      </x:c>
      <x:c r="E14" s="60" t="str">
        <x:v>微博公开页（新浪镜像）</x:v>
      </x:c>
      <x:c r="F14" s="60" t="str">
        <x:v>行政法</x:v>
      </x:c>
      <x:c r="G14" s="60" t="str">
        <x:v>原告资格、债权人与行政处罚</x:v>
      </x:c>
      <x:c r="H14" s="60" t="str">
        <x:v>第 11 题｜债权人能否起诉对茶企的处罚</x:v>
      </x:c>
      <x:c r="I14" s="60" t="str">
        <x:v>市场监管机关处罚茶企，茶企债权人认为处罚会降低债权受偿可能，能否以利害关系人身份起诉？</x:v>
      </x:c>
      <x:c r="J14" s="60" t="str">
        <x:v>公开解析列出两种论证路径；主流判断要求行政行为与原告权益存在法律上的直接利害关系，单纯一般债权受偿风险通常不足。</x:v>
      </x:c>
      <x:c r="K14" s="60" t="str">
        <x:v>1. 识别主张的权益是一般债权，而不是被处罚行为直接针对的经营权。
2. 判断规范是否旨在保护该债权人，以及处罚是否直接增减其权利义务。
3. 仅有经济上的间接影响时，通常不具备原告资格；若存在特别保护规范，可另行论证。</x:v>
      </x:c>
      <x:c r="L14" s="60" t="str">
        <x:v>只要有经济损失就认定有行政诉讼利害关系。</x:v>
      </x:c>
      <x:c r="M14" s="60" t="str">
        <x:v>已核验·有分歧</x:v>
      </x:c>
      <x:c r="N14" s="60" t="str">
        <x:v>公开账号·已核验</x:v>
      </x:c>
      <x:c r="O14" s="60" t="str">
        <x:v>https://www.sina.cn/media/1552849431</x:v>
      </x:c>
      <x:c r="P14" s="60" t="str">
        <x:v>2026-08-31</x:v>
      </x:c>
    </x:row>
    <x:row r="15" ht="54" customHeight="1">
      <x:c r="A15" s="60" t="str">
        <x:v>2026-lijia-12</x:v>
      </x:c>
      <x:c r="B15" s="60" t="str">
        <x:v>2026-08-29</x:v>
      </x:c>
      <x:c r="C15" s="60" t="str">
        <x:v>方圆众合</x:v>
      </x:c>
      <x:c r="D15" s="60" t="str">
        <x:v>李佳</x:v>
      </x:c>
      <x:c r="E15" s="60" t="str">
        <x:v>微博公开页（新浪镜像）</x:v>
      </x:c>
      <x:c r="F15" s="60" t="str">
        <x:v>行政法</x:v>
      </x:c>
      <x:c r="G15" s="60" t="str">
        <x:v>行政处罚调查、询问笔录</x:v>
      </x:c>
      <x:c r="H15" s="60" t="str">
        <x:v>第 12 题｜酒后无证驾驶的调查与询问程序</x:v>
      </x:c>
      <x:c r="I15" s="60" t="str">
        <x:v>公安机关调查酒后无证驾驶，对当事人进行询问并制作笔录。执法人员身份、笔录核对签名和处罚程序有哪些要求？</x:v>
      </x:c>
      <x:c r="J15" s="60" t="str">
        <x:v>执法人员应表明身份；询问笔录须交被询问人核对，对阅读有困难者应宣读，确认无误后逐页签名或盖章，并依法保障陈述申辩。</x:v>
      </x:c>
      <x:c r="K15" s="60" t="str">
        <x:v>1. 处罚决定前必须调查取证，执法人员依法出示证件并说明事项。
2. 笔录应完整记录，允许补充修改；核对或宣读后由相关人员确认。
3. 事实认定还需合法证据支持，不能用程序合规替代实体证明。</x:v>
      </x:c>
      <x:c r="L15" s="60" t="str">
        <x:v>只写酒驾实体责任，遗漏题目要求的调查程序。</x:v>
      </x:c>
      <x:c r="M15" s="60" t="str">
        <x:v>已核验</x:v>
      </x:c>
      <x:c r="N15" s="60" t="str">
        <x:v>公开账号·已核验</x:v>
      </x:c>
      <x:c r="O15" s="60" t="str">
        <x:v>https://www.sina.cn/media/1552849431</x:v>
      </x:c>
      <x:c r="P15" s="60" t="str">
        <x:v>2026-08-31</x:v>
      </x:c>
    </x:row>
    <x:row r="16" ht="54" customHeight="1">
      <x:c r="A16" s="60" t="str">
        <x:v>2026-lijia-13</x:v>
      </x:c>
      <x:c r="B16" s="60" t="str">
        <x:v>2026-08-30</x:v>
      </x:c>
      <x:c r="C16" s="60" t="str">
        <x:v>方圆众合</x:v>
      </x:c>
      <x:c r="D16" s="60" t="str">
        <x:v>李佳</x:v>
      </x:c>
      <x:c r="E16" s="60" t="str">
        <x:v>微博公开页（新浪镜像）</x:v>
      </x:c>
      <x:c r="F16" s="60" t="str">
        <x:v>行政法</x:v>
      </x:c>
      <x:c r="G16" s="60" t="str">
        <x:v>环境行政执法、原告资格、损害救济</x:v>
      </x:c>
      <x:c r="H16" s="60" t="str">
        <x:v>第 13 题｜诊所排放导致鱼类死亡的多重责任</x:v>
      </x:c>
      <x:c r="I16" s="60" t="str">
        <x:v>诊所排放废水并处置医疗废物，疑似导致附近养殖鱼类死亡。题目涉及环境执法机关权限、养殖户原告资格及行政与民事救济衔接。</x:v>
      </x:c>
      <x:c r="J16" s="60" t="str">
        <x:v>截至本库核验时，公开题面已检索到，配套答案尚未在可公开索引页面稳定呈现。</x:v>
      </x:c>
      <x:c r="K16" s="60" t="str">
        <x:v>1. 作答时先分别处理违法排放、医疗废物处置和鱼类损害的因果关系。
2. 行政机关的处罚、责令改正与损害赔偿属于不同责任路径。
3. 在原答案公开前，不把推演结论冒充教师答案。</x:v>
      </x:c>
      <x:c r="L16" s="60" t="str">
        <x:v>在缺少原答案时给出确定的机关、处罚种类或因果结论。</x:v>
      </x:c>
      <x:c r="M16" s="60" t="str">
        <x:v>答案待公开复核</x:v>
      </x:c>
      <x:c r="N16" s="60" t="str">
        <x:v>题面已核验·答案待核验</x:v>
      </x:c>
      <x:c r="O16" s="60" t="str">
        <x:v>https://www.sina.cn/media/1552849431</x:v>
      </x:c>
      <x:c r="P16" s="60" t="str">
        <x:v>2026-08-31</x:v>
      </x:c>
    </x:row>
    <x:row r="17" ht="54" customHeight="1">
      <x:c r="A17" s="60" t="str">
        <x:v>2026-meng-225</x:v>
      </x:c>
      <x:c r="B17" s="60" t="str">
        <x:v>2026-08</x:v>
      </x:c>
      <x:c r="C17" s="60" t="str">
        <x:v>方圆众合</x:v>
      </x:c>
      <x:c r="D17" s="60" t="str">
        <x:v>孟献贵</x:v>
      </x:c>
      <x:c r="E17" s="60" t="str">
        <x:v>微博公开页（新浪镜像）</x:v>
      </x:c>
      <x:c r="F17" s="60" t="str">
        <x:v>民法</x:v>
      </x:c>
      <x:c r="G17" s="60" t="str">
        <x:v>合同相对性、以房抵款</x:v>
      </x:c>
      <x:c r="H17" s="60" t="str">
        <x:v>案例带学第 225 题｜工程款与以房抵款安排</x:v>
      </x:c>
      <x:c r="I17" s="60" t="str">
        <x:v>建设工程合作中约定以房屋折抵应付款，一方因第三方原因未能按约履行，能否据此免除违约责任？</x:v>
      </x:c>
      <x:c r="J17" s="60" t="str">
        <x:v>合同责任具有相对性；第三人的原因原则上不免除合同债务人的违约责任，债务人承担后可另行向第三人追偿。</x:v>
      </x:c>
      <x:c r="K17" s="60" t="str">
        <x:v>1. 先确定双方之间合同义务的内容和履行期限。
2. 第三人原因属于债务人与第三人内部风险，除法定或约定免责外，不对抗合同相对人。
3. 结论上由债务人承担继续履行、赔偿等责任，再处理内部追偿。</x:v>
      </x:c>
      <x:c r="L17" s="60" t="str">
        <x:v>把第三人违约直接当作不可抗力。</x:v>
      </x:c>
      <x:c r="M17" s="60" t="str">
        <x:v>已核验</x:v>
      </x:c>
      <x:c r="N17" s="60" t="str">
        <x:v>公开账号·已核验</x:v>
      </x:c>
      <x:c r="O17" s="60" t="str">
        <x:v>https://www.sina.cn/media/2342740757</x:v>
      </x:c>
      <x:c r="P17" s="60" t="str">
        <x:v>2026-08-31</x:v>
      </x:c>
    </x:row>
    <x:row r="18" ht="54" customHeight="1">
      <x:c r="A18" s="60" t="str">
        <x:v>2026-meng-226</x:v>
      </x:c>
      <x:c r="B18" s="60" t="str">
        <x:v>2026-08</x:v>
      </x:c>
      <x:c r="C18" s="60" t="str">
        <x:v>方圆众合</x:v>
      </x:c>
      <x:c r="D18" s="60" t="str">
        <x:v>孟献贵</x:v>
      </x:c>
      <x:c r="E18" s="60" t="str">
        <x:v>微博公开页（新浪镜像）</x:v>
      </x:c>
      <x:c r="F18" s="60" t="str">
        <x:v>民法</x:v>
      </x:c>
      <x:c r="G18" s="60" t="str">
        <x:v>预约合同、定金返还</x:v>
      </x:c>
      <x:c r="H18" s="60" t="str">
        <x:v>案例带学第 226 题｜购房预约与定金</x:v>
      </x:c>
      <x:c r="I18" s="60" t="str">
        <x:v>双方签订购房预约并交付定金，后因不可归责于双方的原因未能订立本约，定金如何处理？</x:v>
      </x:c>
      <x:c r="J18" s="60" t="str">
        <x:v>因不可归责于双方的事由导致本约未订立，定金罚则不适用，收受方应返还定金。</x:v>
      </x:c>
      <x:c r="K18" s="60" t="str">
        <x:v>1. 先区分预约合同和商品房买卖本约。
2. 判断未订立本约的原因是否可归责；双方诚信磋商仍因外部原因失败的，不适用定金罚则。
3. 返还定金不等于双倍返还，除非收受方存在导致目的不能实现的违约。</x:v>
      </x:c>
      <x:c r="L18" s="60" t="str">
        <x:v>只要没有签成本约就机械双倍返还。</x:v>
      </x:c>
      <x:c r="M18" s="60" t="str">
        <x:v>已核验</x:v>
      </x:c>
      <x:c r="N18" s="60" t="str">
        <x:v>公开账号·已核验</x:v>
      </x:c>
      <x:c r="O18" s="60" t="str">
        <x:v>https://www.sina.cn/media/2342740757</x:v>
      </x:c>
      <x:c r="P18" s="60" t="str">
        <x:v>2026-08-31</x:v>
      </x:c>
    </x:row>
    <x:row r="19" ht="54" customHeight="1">
      <x:c r="A19" s="60" t="str">
        <x:v>2026-meng-227</x:v>
      </x:c>
      <x:c r="B19" s="60" t="str">
        <x:v>2026-08</x:v>
      </x:c>
      <x:c r="C19" s="60" t="str">
        <x:v>方圆众合</x:v>
      </x:c>
      <x:c r="D19" s="60" t="str">
        <x:v>孟献贵</x:v>
      </x:c>
      <x:c r="E19" s="60" t="str">
        <x:v>微博公开页（新浪镜像）</x:v>
      </x:c>
      <x:c r="F19" s="60" t="str">
        <x:v>民法</x:v>
      </x:c>
      <x:c r="G19" s="60" t="str">
        <x:v>商品房广告、要约</x:v>
      </x:c>
      <x:c r="H19" s="60" t="str">
        <x:v>案例带学第 227 题｜销售宣传能否进入合同</x:v>
      </x:c>
      <x:c r="I19" s="60" t="str">
        <x:v>开发商通过宣传资料、沙盘等对规划和配套作具体说明，买受人据此签约。宣传内容是否构成合同内容？</x:v>
      </x:c>
      <x:c r="J19" s="60" t="str">
        <x:v>对开发规划范围内房屋及相关设施作具体确定说明，并对订约和价格有重大影响的，构成要约；即使未写入合同，也可视为合同内容。</x:v>
      </x:c>
      <x:c r="K19" s="60" t="str">
        <x:v>1. 审查宣传是否具体、确定，而非一般夸张宣传。
2. 判断其是否对订立合同及价格形成重大影响。
3. 满足条件时按合同内容处理，违反可主张违约责任。</x:v>
      </x:c>
      <x:c r="L19" s="60" t="str">
        <x:v>所有广告都认定为要约，或所有广告都认定为要约邀请。</x:v>
      </x:c>
      <x:c r="M19" s="60" t="str">
        <x:v>已核验</x:v>
      </x:c>
      <x:c r="N19" s="60" t="str">
        <x:v>公开账号·已核验</x:v>
      </x:c>
      <x:c r="O19" s="60" t="str">
        <x:v>https://www.sina.cn/media/2342740757</x:v>
      </x:c>
      <x:c r="P19" s="60" t="str">
        <x:v>2026-08-31</x:v>
      </x:c>
    </x:row>
    <x:row r="20" ht="54" customHeight="1">
      <x:c r="A20" s="60" t="str">
        <x:v>2026-meng-228</x:v>
      </x:c>
      <x:c r="B20" s="60" t="str">
        <x:v>2026-08</x:v>
      </x:c>
      <x:c r="C20" s="60" t="str">
        <x:v>方圆众合</x:v>
      </x:c>
      <x:c r="D20" s="60" t="str">
        <x:v>孟献贵</x:v>
      </x:c>
      <x:c r="E20" s="60" t="str">
        <x:v>微博公开页（新浪镜像）</x:v>
      </x:c>
      <x:c r="F20" s="60" t="str">
        <x:v>民法</x:v>
      </x:c>
      <x:c r="G20" s="60" t="str">
        <x:v>违约金调整</x:v>
      </x:c>
      <x:c r="H20" s="60" t="str">
        <x:v>案例带学第 228 题｜日百分之五违约金能否调整</x:v>
      </x:c>
      <x:c r="I20" s="60" t="str">
        <x:v>商品房合同约定迟延履行按日百分之五承担违约金，违约方请求法院调低，法院如何审查？</x:v>
      </x:c>
      <x:c r="J20" s="60" t="str">
        <x:v>约定违约金明显高于实际损失时，可依请求适当减少；日百分之五通常已明显过高，但仍应结合损失、履行程度、过错和预期利益综合判断。</x:v>
      </x:c>
      <x:c r="K20" s="60" t="str">
        <x:v>1. 违约金兼具补偿和督促履行功能，不以约定即绝对不变。
2. 当事人提出调整请求后，以实际损失为基础，综合合同履行、过错和预期利益。
3. 本案比例显著异常，法院可以适当调低，但不是当然降到固定标准。</x:v>
      </x:c>
      <x:c r="L20" s="60" t="str">
        <x:v>直接写成法定上限为损失的百分之三十。</x:v>
      </x:c>
      <x:c r="M20" s="60" t="str">
        <x:v>已核验</x:v>
      </x:c>
      <x:c r="N20" s="60" t="str">
        <x:v>公开账号·已核验</x:v>
      </x:c>
      <x:c r="O20" s="60" t="str">
        <x:v>https://www.sina.cn/media/2342740757</x:v>
      </x:c>
      <x:c r="P20" s="60" t="str">
        <x:v>2026-08-31</x:v>
      </x:c>
    </x:row>
    <x:row r="21" ht="54" customHeight="1">
      <x:c r="A21" s="60" t="str">
        <x:v>2026-meng-229</x:v>
      </x:c>
      <x:c r="B21" s="60" t="str">
        <x:v>2026-08</x:v>
      </x:c>
      <x:c r="C21" s="60" t="str">
        <x:v>方圆众合</x:v>
      </x:c>
      <x:c r="D21" s="60" t="str">
        <x:v>孟献贵</x:v>
      </x:c>
      <x:c r="E21" s="60" t="str">
        <x:v>微博公开页（新浪镜像）</x:v>
      </x:c>
      <x:c r="F21" s="60" t="str">
        <x:v>民法</x:v>
      </x:c>
      <x:c r="G21" s="60" t="str">
        <x:v>可预见规则、期待利益</x:v>
      </x:c>
      <x:c r="H21" s="60" t="str">
        <x:v>案例带学第 229 题｜工程合作中的预期利益损失</x:v>
      </x:c>
      <x:c r="I21" s="60" t="str">
        <x:v>建设合作一方违约，另一方主张未来转售房屋可获利润。该期待利益是否全部赔偿？</x:v>
      </x:c>
      <x:c r="J21" s="60" t="str">
        <x:v>违约损害赔偿包括可得利益，但不得超过违约方订约时预见或应当预见的损失；高度不确定或缺少证明的未来利润不当然支持。</x:v>
      </x:c>
      <x:c r="K21" s="60" t="str">
        <x:v>1. 先证明违约、损失和因果关系。
2. 期待利益还要通过可预见性、确定性和减损规则筛选。
3. 结合交易基础、市场价格与履行概率计算，不能以单方估算替代证据。</x:v>
      </x:c>
      <x:c r="L21" s="60" t="str">
        <x:v>把所有预计利润都列为可得利益。</x:v>
      </x:c>
      <x:c r="M21" s="60" t="str">
        <x:v>已核验</x:v>
      </x:c>
      <x:c r="N21" s="60" t="str">
        <x:v>公开账号·已核验</x:v>
      </x:c>
      <x:c r="O21" s="60" t="str">
        <x:v>https://www.sina.cn/media/2342740757</x:v>
      </x:c>
      <x:c r="P21" s="60" t="str">
        <x:v>2026-08-31</x:v>
      </x:c>
    </x:row>
    <x:row r="22" ht="54" customHeight="1">
      <x:c r="A22" s="60" t="str">
        <x:v>2026-meng-230</x:v>
      </x:c>
      <x:c r="B22" s="60" t="str">
        <x:v>2026-08</x:v>
      </x:c>
      <x:c r="C22" s="60" t="str">
        <x:v>方圆众合</x:v>
      </x:c>
      <x:c r="D22" s="60" t="str">
        <x:v>孟献贵</x:v>
      </x:c>
      <x:c r="E22" s="60" t="str">
        <x:v>微博公开页（新浪镜像）</x:v>
      </x:c>
      <x:c r="F22" s="60" t="str">
        <x:v>民法</x:v>
      </x:c>
      <x:c r="G22" s="60" t="str">
        <x:v>商品房宣传、违约损害</x:v>
      </x:c>
      <x:c r="H22" s="60" t="str">
        <x:v>案例带学第 230 题｜沙盘与宣传资料的责任</x:v>
      </x:c>
      <x:c r="I22" s="60" t="str">
        <x:v>购房人信赖销售宣传和沙盘展示订立合同，交房后发现配套、位置或规划不符，如何确定宣传的合同效力和损害？</x:v>
      </x:c>
      <x:c r="J22" s="60" t="str">
        <x:v>公开索引能确认题目与配图答案存在，但答案图片文字尚未完成稳定核验；可与第 227 题的商品房广告规则联动理解。</x:v>
      </x:c>
      <x:c r="K22" s="60" t="str">
        <x:v>1. 先按具体确定性和重大影响判断宣传是否构成合同内容。
2. 构成合同内容而实际交付不符的，适用违约责任；不构成时仍可审查缔约过失或欺诈。
3. 赔偿范围应与承诺差异造成的价值减损、替代成本等相联系。</x:v>
      </x:c>
      <x:c r="L22" s="60" t="str">
        <x:v>将本库整理推演误当作教师图片原答案。</x:v>
      </x:c>
      <x:c r="M22" s="60" t="str">
        <x:v>题面已核验·答案图片待复核</x:v>
      </x:c>
      <x:c r="N22" s="60" t="str">
        <x:v>题面已核验·答案待核验</x:v>
      </x:c>
      <x:c r="O22" s="60" t="str">
        <x:v>https://www.sina.cn/media/2342740757</x:v>
      </x:c>
      <x:c r="P22" s="60" t="str">
        <x:v>2026-08-31</x:v>
      </x:c>
    </x:row>
    <x:row r="23" ht="54" customHeight="1">
      <x:c r="A23" s="60" t="str">
        <x:v>2026-meng-231</x:v>
      </x:c>
      <x:c r="B23" s="60" t="str">
        <x:v>2026-08</x:v>
      </x:c>
      <x:c r="C23" s="60" t="str">
        <x:v>方圆众合</x:v>
      </x:c>
      <x:c r="D23" s="60" t="str">
        <x:v>孟献贵</x:v>
      </x:c>
      <x:c r="E23" s="60" t="str">
        <x:v>微博公开页（新浪镜像）</x:v>
      </x:c>
      <x:c r="F23" s="60" t="str">
        <x:v>民法</x:v>
      </x:c>
      <x:c r="G23" s="60" t="str">
        <x:v>房屋租赁、登记备案、实际履行</x:v>
      </x:c>
      <x:c r="H23" s="60" t="str">
        <x:v>案例带学第 231 题｜二十五年租期与未登记</x:v>
      </x:c>
      <x:c r="I23" s="60" t="str">
        <x:v>房屋租赁约定二十五年且未办理登记备案，合同效力和继续履行请求应如何处理？</x:v>
      </x:c>
      <x:c r="J23" s="60" t="str">
        <x:v>租赁登记备案不是合同生效要件；超过二十年的部分无效。即使合同有效，非金钱债务存在法律上或事实上不能履行、标的不适于强制履行等情形时，可不支持继续履行。</x:v>
      </x:c>
      <x:c r="K23" s="60" t="str">
        <x:v>1. 未登记备案原则上不影响租赁合同效力。
2. 租赁期限不得超过二十年，超过部分无效。
3. 继续履行是违约救济之一，但需排除不能履行、费用过高或不适宜强制履行等例外。</x:v>
      </x:c>
      <x:c r="L23" s="60" t="str">
        <x:v>把未备案直接写成合同无效。</x:v>
      </x:c>
      <x:c r="M23" s="60" t="str">
        <x:v>已核验</x:v>
      </x:c>
      <x:c r="N23" s="60" t="str">
        <x:v>公开账号·已核验</x:v>
      </x:c>
      <x:c r="O23" s="60" t="str">
        <x:v>https://www.sina.cn/media/2342740757</x:v>
      </x:c>
      <x:c r="P23" s="60" t="str">
        <x:v>2026-08-31</x:v>
      </x:c>
    </x:row>
    <x:row r="24" ht="54" customHeight="1">
      <x:c r="A24" s="60" t="str">
        <x:v>2026-meng-232</x:v>
      </x:c>
      <x:c r="B24" s="60" t="str">
        <x:v>2026-08</x:v>
      </x:c>
      <x:c r="C24" s="60" t="str">
        <x:v>方圆众合</x:v>
      </x:c>
      <x:c r="D24" s="60" t="str">
        <x:v>孟献贵</x:v>
      </x:c>
      <x:c r="E24" s="60" t="str">
        <x:v>微博公开页（新浪镜像）</x:v>
      </x:c>
      <x:c r="F24" s="60" t="str">
        <x:v>民法</x:v>
      </x:c>
      <x:c r="G24" s="60" t="str">
        <x:v>技术开发合同、情势变更</x:v>
      </x:c>
      <x:c r="H24" s="60" t="str">
        <x:v>案例带学第 232 题｜技术委托开发遇政策变化</x:v>
      </x:c>
      <x:c r="I24" s="60" t="str">
        <x:v>委托研发锅炉脱硫技术，合同订立后政策发生重大变化，继续履行显失公平。合同性质和情势变更如何判断？</x:v>
      </x:c>
      <x:c r="J24" s="60" t="str">
        <x:v>技术委托开发合同属于诺成合同；政策变化若订约时不可预见、不属于商业风险，且继续履行明显不公平，可先协商，协商不成请求变更或解除。</x:v>
      </x:c>
      <x:c r="K24" s="60" t="str">
        <x:v>1. 合同自意思表示一致时成立，不以成果交付为成立要件。
2. 情势变更要求基础条件发生订约时无法预见、非商业风险的重大变化。
3. 当事人先重新协商；合理期限内协商不成，法院或仲裁机构可变更或解除。</x:v>
      </x:c>
      <x:c r="L24" s="60" t="str">
        <x:v>把一般成本上涨都认定为情势变更。</x:v>
      </x:c>
      <x:c r="M24" s="60" t="str">
        <x:v>已核验</x:v>
      </x:c>
      <x:c r="N24" s="60" t="str">
        <x:v>公开账号·已核验</x:v>
      </x:c>
      <x:c r="O24" s="60" t="str">
        <x:v>https://www.sina.cn/media/2342740757</x:v>
      </x:c>
      <x:c r="P24" s="60" t="str">
        <x:v>2026-08-31</x:v>
      </x:c>
    </x:row>
  </x:sheetData>
  <x:mergeCells>
    <x:mergeCell ref="A1:P1"/>
    <x:mergeCell ref="A2:P2"/>
  </x:mergeCells>
  <x:pageMargins left="0.7" right="0.7" top="0.75" bottom="0.75" header="0.3" footer="0.3"/>
  <x:tableParts count="1">
    <x:tablePart xmlns:r="http://schemas.openxmlformats.org/officeDocument/2006/relationships" r:id="R362bbff2f4354cd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31" hidden="0" customWidth="1"/>
    <x:col min="3" max="3" width="10" hidden="0" customWidth="1"/>
    <x:col min="4" max="4" width="18" hidden="0" customWidth="1"/>
    <x:col min="5" max="5" width="27" hidden="0" customWidth="1"/>
    <x:col min="6" max="6" width="48" hidden="0" customWidth="1"/>
    <x:col min="7" max="7" width="54" hidden="0" customWidth="1"/>
    <x:col min="8" max="8" width="22" hidden="0" customWidth="1"/>
    <x:col min="9" max="9" width="36" hidden="0" customWidth="1"/>
    <x:col min="10" max="10" width="36" hidden="0" customWidth="1"/>
    <x:col min="11" max="11" width="42" hidden="0" customWidth="1"/>
  </x:cols>
  <x:sheetData>
    <x:row r="1" ht="34" customHeight="1">
      <x:c r="A1" s="3" t="str">
        <x:v>2016—2025 主观题真题｜分题索引</x:v>
      </x:c>
      <x:c r="B1" s="3" t="str">
        <x:v>2016—2025 主观题真题｜分题索引</x:v>
      </x:c>
      <x:c r="C1" s="3" t="str">
        <x:v>2016—2025 主观题真题｜分题索引</x:v>
      </x:c>
      <x:c r="D1" s="3" t="str">
        <x:v>2016—2025 主观题真题｜分题索引</x:v>
      </x:c>
      <x:c r="E1" s="3" t="str">
        <x:v>2016—2025 主观题真题｜分题索引</x:v>
      </x:c>
      <x:c r="F1" s="3" t="str">
        <x:v>2016—2025 主观题真题｜分题索引</x:v>
      </x:c>
      <x:c r="G1" s="3" t="str">
        <x:v>2016—2025 主观题真题｜分题索引</x:v>
      </x:c>
      <x:c r="H1" s="3" t="str">
        <x:v>2016—2025 主观题真题｜分题索引</x:v>
      </x:c>
      <x:c r="I1" s="3" t="str">
        <x:v>2016—2025 主观题真题｜分题索引</x:v>
      </x:c>
      <x:c r="J1" s="3" t="str">
        <x:v>2016—2025 主观题真题｜分题索引</x:v>
      </x:c>
      <x:c r="K1" s="3" t="str">
        <x:v>2016—2025 主观题真题｜分题索引</x:v>
      </x:c>
    </x:row>
    <x:row r="2" ht="30" customHeight="1">
      <x:c r="A2" s="7" t="str">
        <x:v>2016—2017 为官方公开；2018—2025 为公开回忆版，摘要不替代完整题面</x:v>
      </x:c>
      <x:c r="B2" s="7" t="str">
        <x:v>2016—2017 为官方公开；2018—2025 为公开回忆版，摘要不替代完整题面</x:v>
      </x:c>
      <x:c r="C2" s="7" t="str">
        <x:v>2016—2017 为官方公开；2018—2025 为公开回忆版，摘要不替代完整题面</x:v>
      </x:c>
      <x:c r="D2" s="7" t="str">
        <x:v>2016—2017 为官方公开；2018—2025 为公开回忆版，摘要不替代完整题面</x:v>
      </x:c>
      <x:c r="E2" s="7" t="str">
        <x:v>2016—2017 为官方公开；2018—2025 为公开回忆版，摘要不替代完整题面</x:v>
      </x:c>
      <x:c r="F2" s="7" t="str">
        <x:v>2016—2017 为官方公开；2018—2025 为公开回忆版，摘要不替代完整题面</x:v>
      </x:c>
      <x:c r="G2" s="7" t="str">
        <x:v>2016—2017 为官方公开；2018—2025 为公开回忆版，摘要不替代完整题面</x:v>
      </x:c>
      <x:c r="H2" s="7" t="str">
        <x:v>2016—2017 为官方公开；2018—2025 为公开回忆版，摘要不替代完整题面</x:v>
      </x:c>
      <x:c r="I2" s="7" t="str">
        <x:v>2016—2017 为官方公开；2018—2025 为公开回忆版，摘要不替代完整题面</x:v>
      </x:c>
      <x:c r="J2" s="7" t="str">
        <x:v>2016—2017 为官方公开；2018—2025 为公开回忆版，摘要不替代完整题面</x:v>
      </x:c>
      <x:c r="K2" s="7" t="str">
        <x:v>2016—2017 为官方公开；2018—2025 为公开回忆版，摘要不替代完整题面</x:v>
      </x:c>
    </x:row>
    <x:row r="3" ht="28" customHeight="1">
      <x:c r="A3" s="56" t="str">
        <x:v>年份</x:v>
      </x:c>
      <x:c r="B3" s="56" t="str">
        <x:v>考试名称</x:v>
      </x:c>
      <x:c r="C3" s="56" t="str">
        <x:v>题号</x:v>
      </x:c>
      <x:c r="D3" s="56" t="str">
        <x:v>科目</x:v>
      </x:c>
      <x:c r="E3" s="56" t="str">
        <x:v>争点</x:v>
      </x:c>
      <x:c r="F3" s="56" t="str">
        <x:v>题面摘要</x:v>
      </x:c>
      <x:c r="G3" s="56" t="str">
        <x:v>答案/作答主线</x:v>
      </x:c>
      <x:c r="H3" s="56" t="str">
        <x:v>可信度</x:v>
      </x:c>
      <x:c r="I3" s="56" t="str">
        <x:v>题目来源</x:v>
      </x:c>
      <x:c r="J3" s="56" t="str">
        <x:v>答案来源</x:v>
      </x:c>
      <x:c r="K3" s="56" t="str">
        <x:v>卷别说明</x:v>
      </x:c>
    </x:row>
    <x:row r="4" ht="54" customHeight="1">
      <x:c r="A4" s="60" t="n">
        <x:v>2016</x:v>
      </x:c>
      <x:c r="B4" s="60" t="str">
        <x:v>2016 年国家司法考试试卷四</x:v>
      </x:c>
      <x:c r="C4" s="60" t="str">
        <x:v>一</x:v>
      </x:c>
      <x:c r="D4" s="60" t="str">
        <x:v>习近平法治思想/法理</x:v>
      </x:c>
      <x:c r="E4" s="60" t="str">
        <x:v>法律面前人人平等、严格司法</x:v>
      </x:c>
      <x:c r="F4" s="60" t="str">
        <x:v>结合材料论述法律面前人人平等及严格司法对公平正义的保障。</x:v>
      </x:c>
      <x:c r="G4" s="60" t="str">
        <x:v>围绕平等适用法律、司法权依法独立公正行使、以事实为根据以法律为准绳、程序公正与裁判公信展开。</x:v>
      </x:c>
      <x:c r="H4" s="60" t="str">
        <x:v>官方公布</x:v>
      </x:c>
      <x:c r="I4" s="60" t="str">
        <x:v>https://edu.people.com.cn/n1/2016/0926/c1053-28739783.html</x:v>
      </x:c>
      <x:c r="J4" s="60" t="str">
        <x:v>https://www.eol.cn/hang_kao/si_fa/shi_fa_zn/news/201609/t20160921_1451029_7.shtml</x:v>
      </x:c>
      <x:c r="K4" s="60" t="str">
        <x:v>官方题目经权威媒体转发；本库仅作结构化摘要，原页面注明未经许可不得转载。</x:v>
      </x:c>
    </x:row>
    <x:row r="5" ht="54" customHeight="1">
      <x:c r="A5" s="60" t="n">
        <x:v>2016</x:v>
      </x:c>
      <x:c r="B5" s="60" t="str">
        <x:v>2016 年国家司法考试试卷四</x:v>
      </x:c>
      <x:c r="C5" s="60" t="str">
        <x:v>二</x:v>
      </x:c>
      <x:c r="D5" s="60" t="str">
        <x:v>刑法</x:v>
      </x:c>
      <x:c r="E5" s="60" t="str">
        <x:v>错误认识、因果关系、犯罪形态</x:v>
      </x:c>
      <x:c r="F5" s="60" t="str">
        <x:v>围绕扣押画作、行为人误以为被害人死亡而掩埋、后续救助等连续事实分析刑事责任。</x:v>
      </x:c>
      <x:c r="G5" s="60" t="str">
        <x:v>逐行为、逐主体分析故意内容，区分对象或因果进程错误，评价前后行为的罪数、未遂既遂和介入因素。</x:v>
      </x:c>
      <x:c r="H5" s="60" t="str">
        <x:v>官方公布</x:v>
      </x:c>
      <x:c r="I5" s="60" t="str">
        <x:v>https://edu.people.com.cn/n1/2016/0926/c1053-28739783.html</x:v>
      </x:c>
      <x:c r="J5" s="60" t="str">
        <x:v>https://www.eol.cn/hang_kao/si_fa/shi_fa_zn/news/201609/t20160921_1451029_7.shtml</x:v>
      </x:c>
      <x:c r="K5" s="60" t="str">
        <x:v>官方题目经权威媒体转发；本库仅作结构化摘要，原页面注明未经许可不得转载。</x:v>
      </x:c>
    </x:row>
    <x:row r="6" ht="54" customHeight="1">
      <x:c r="A6" s="60" t="n">
        <x:v>2016</x:v>
      </x:c>
      <x:c r="B6" s="60" t="str">
        <x:v>2016 年国家司法考试试卷四</x:v>
      </x:c>
      <x:c r="C6" s="60" t="str">
        <x:v>三</x:v>
      </x:c>
      <x:c r="D6" s="60" t="str">
        <x:v>刑事诉讼法</x:v>
      </x:c>
      <x:c r="E6" s="60" t="str">
        <x:v>侦查、证据与程序救济</x:v>
      </x:c>
      <x:c r="F6" s="60" t="str">
        <x:v>综合侦查取证、强制措施和审判程序事实判断程序是否合法。</x:v>
      </x:c>
      <x:c r="G6" s="60" t="str">
        <x:v>按主体权限、期限、告知与救济、证据取得合法性分别审查，结论后写明排除或补救方式。</x:v>
      </x:c>
      <x:c r="H6" s="60" t="str">
        <x:v>官方公布</x:v>
      </x:c>
      <x:c r="I6" s="60" t="str">
        <x:v>https://edu.people.com.cn/n1/2016/0926/c1053-28739783.html</x:v>
      </x:c>
      <x:c r="J6" s="60" t="str">
        <x:v>https://www.eol.cn/hang_kao/si_fa/shi_fa_zn/news/201609/t20160921_1451029_7.shtml</x:v>
      </x:c>
      <x:c r="K6" s="60" t="str">
        <x:v>官方题目经权威媒体转发；本库仅作结构化摘要，原页面注明未经许可不得转载。</x:v>
      </x:c>
    </x:row>
    <x:row r="7" ht="54" customHeight="1">
      <x:c r="A7" s="60" t="n">
        <x:v>2016</x:v>
      </x:c>
      <x:c r="B7" s="60" t="str">
        <x:v>2016 年国家司法考试试卷四</x:v>
      </x:c>
      <x:c r="C7" s="60" t="str">
        <x:v>四</x:v>
      </x:c>
      <x:c r="D7" s="60" t="str">
        <x:v>民法</x:v>
      </x:c>
      <x:c r="E7" s="60" t="str">
        <x:v>合同、担保与物权变动</x:v>
      </x:c>
      <x:c r="F7" s="60" t="str">
        <x:v>在多方交易关系中识别合同效力、物权变动和担保责任。</x:v>
      </x:c>
      <x:c r="G7" s="60" t="str">
        <x:v>先画法律关系图，再按合同效力—履行抗辩—担保从属性—物权公示顺序作答。</x:v>
      </x:c>
      <x:c r="H7" s="60" t="str">
        <x:v>官方公布</x:v>
      </x:c>
      <x:c r="I7" s="60" t="str">
        <x:v>https://edu.people.com.cn/n1/2016/0926/c1053-28739783.html</x:v>
      </x:c>
      <x:c r="J7" s="60" t="str">
        <x:v>https://www.eol.cn/hang_kao/si_fa/shi_fa_zn/news/201609/t20160921_1451029_7.shtml</x:v>
      </x:c>
      <x:c r="K7" s="60" t="str">
        <x:v>官方题目经权威媒体转发；本库仅作结构化摘要，原页面注明未经许可不得转载。</x:v>
      </x:c>
    </x:row>
    <x:row r="8" ht="54" customHeight="1">
      <x:c r="A8" s="60" t="n">
        <x:v>2016</x:v>
      </x:c>
      <x:c r="B8" s="60" t="str">
        <x:v>2016 年国家司法考试试卷四</x:v>
      </x:c>
      <x:c r="C8" s="60" t="str">
        <x:v>五</x:v>
      </x:c>
      <x:c r="D8" s="60" t="str">
        <x:v>商法</x:v>
      </x:c>
      <x:c r="E8" s="60" t="str">
        <x:v>公司治理与股东责任</x:v>
      </x:c>
      <x:c r="F8" s="60" t="str">
        <x:v>围绕公司决议、出资与对外交易分析公司及股东责任。</x:v>
      </x:c>
      <x:c r="G8" s="60" t="str">
        <x:v>区分内部决议效力与外部交易效力，审查代表权限、善意相对人和股东出资责任。</x:v>
      </x:c>
      <x:c r="H8" s="60" t="str">
        <x:v>官方公布</x:v>
      </x:c>
      <x:c r="I8" s="60" t="str">
        <x:v>https://edu.people.com.cn/n1/2016/0926/c1053-28739783.html</x:v>
      </x:c>
      <x:c r="J8" s="60" t="str">
        <x:v>https://www.eol.cn/hang_kao/si_fa/shi_fa_zn/news/201609/t20160921_1451029_7.shtml</x:v>
      </x:c>
      <x:c r="K8" s="60" t="str">
        <x:v>官方题目经权威媒体转发；本库仅作结构化摘要，原页面注明未经许可不得转载。</x:v>
      </x:c>
    </x:row>
    <x:row r="9" ht="54" customHeight="1">
      <x:c r="A9" s="60" t="n">
        <x:v>2016</x:v>
      </x:c>
      <x:c r="B9" s="60" t="str">
        <x:v>2016 年国家司法考试试卷四</x:v>
      </x:c>
      <x:c r="C9" s="60" t="str">
        <x:v>六</x:v>
      </x:c>
      <x:c r="D9" s="60" t="str">
        <x:v>民事诉讼法</x:v>
      </x:c>
      <x:c r="E9" s="60" t="str">
        <x:v>当事人、管辖、证明责任</x:v>
      </x:c>
      <x:c r="F9" s="60" t="str">
        <x:v>在复杂民事纠纷中判断当事人、管辖、证明责任和裁判方式。</x:v>
      </x:c>
      <x:c r="G9" s="60" t="str">
        <x:v>先处理程序门槛，再分配证明责任；实体结论与程序结论分段书写。</x:v>
      </x:c>
      <x:c r="H9" s="60" t="str">
        <x:v>官方公布</x:v>
      </x:c>
      <x:c r="I9" s="60" t="str">
        <x:v>https://edu.people.com.cn/n1/2016/0926/c1053-28739783.html</x:v>
      </x:c>
      <x:c r="J9" s="60" t="str">
        <x:v>https://www.eol.cn/hang_kao/si_fa/shi_fa_zn/news/201609/t20160921_1451029_7.shtml</x:v>
      </x:c>
      <x:c r="K9" s="60" t="str">
        <x:v>官方题目经权威媒体转发；本库仅作结构化摘要，原页面注明未经许可不得转载。</x:v>
      </x:c>
    </x:row>
    <x:row r="10" ht="54" customHeight="1">
      <x:c r="A10" s="60" t="n">
        <x:v>2016</x:v>
      </x:c>
      <x:c r="B10" s="60" t="str">
        <x:v>2016 年国家司法考试试卷四</x:v>
      </x:c>
      <x:c r="C10" s="60" t="str">
        <x:v>七</x:v>
      </x:c>
      <x:c r="D10" s="60" t="str">
        <x:v>行政法</x:v>
      </x:c>
      <x:c r="E10" s="60" t="str">
        <x:v>行政行为合法性与救济</x:v>
      </x:c>
      <x:c r="F10" s="60" t="str">
        <x:v>围绕行政许可或处罚争议判断主体、程序、复议诉讼与裁判。</x:v>
      </x:c>
      <x:c r="G10" s="60" t="str">
        <x:v>以被诉行政行为为中心，依主体权限、事实证据、法律适用、法定程序、裁量审查五步展开。</x:v>
      </x:c>
      <x:c r="H10" s="60" t="str">
        <x:v>官方公布</x:v>
      </x:c>
      <x:c r="I10" s="60" t="str">
        <x:v>https://edu.people.com.cn/n1/2016/0926/c1053-28739783.html</x:v>
      </x:c>
      <x:c r="J10" s="60" t="str">
        <x:v>https://www.eol.cn/hang_kao/si_fa/shi_fa_zn/news/201609/t20160921_1451029_7.shtml</x:v>
      </x:c>
      <x:c r="K10" s="60" t="str">
        <x:v>官方题目经权威媒体转发；本库仅作结构化摘要，原页面注明未经许可不得转载。</x:v>
      </x:c>
    </x:row>
    <x:row r="11" ht="54" customHeight="1">
      <x:c r="A11" s="60" t="n">
        <x:v>2017</x:v>
      </x:c>
      <x:c r="B11" s="60" t="str">
        <x:v>2017 年国家司法考试试卷四</x:v>
      </x:c>
      <x:c r="C11" s="60" t="str">
        <x:v>一</x:v>
      </x:c>
      <x:c r="D11" s="60" t="str">
        <x:v>习近平法治思想/法理</x:v>
      </x:c>
      <x:c r="E11" s="60" t="str">
        <x:v>天理、国法、人情与司法公正</x:v>
      </x:c>
      <x:c r="F11" s="60" t="str">
        <x:v>围绕裁判如何兼顾法律效果、社会效果和公众认同展开论述。</x:v>
      </x:c>
      <x:c r="G11" s="60" t="str">
        <x:v>坚持依法裁判是前提，通过释法说理、程序参与和价值衡量实现政治效果、法律效果、社会效果统一。</x:v>
      </x:c>
      <x:c r="H11" s="60" t="str">
        <x:v>官方公布</x:v>
      </x:c>
      <x:c r="I11" s="60" t="str">
        <x:v>https://www.moj.gov.cn/jgsz/jgszzsdw/zsdwgjsfkszx/gjsfkskskt/201805/t20180510_172368.html</x:v>
      </x:c>
      <x:c r="J11" s="60" t="str">
        <x:v>https://www.eol.cn/m/zige/201709/t20170922_1556036.shtml</x:v>
      </x:c>
      <x:c r="K11" s="60" t="str">
        <x:v>司法部公开题面；答案链接为公开转载页面。</x:v>
      </x:c>
    </x:row>
    <x:row r="12" ht="54" customHeight="1">
      <x:c r="A12" s="60" t="n">
        <x:v>2017</x:v>
      </x:c>
      <x:c r="B12" s="60" t="str">
        <x:v>2017 年国家司法考试试卷四</x:v>
      </x:c>
      <x:c r="C12" s="60" t="str">
        <x:v>二</x:v>
      </x:c>
      <x:c r="D12" s="60" t="str">
        <x:v>刑法</x:v>
      </x:c>
      <x:c r="E12" s="60" t="str">
        <x:v>绑架、敲诈勒索、认识错误、遗弃</x:v>
      </x:c>
      <x:c r="F12" s="60" t="str">
        <x:v>行为人绑错儿童并索财，发生死亡、遗弃和处置尸体等事实，分析各阶段刑责。</x:v>
      </x:c>
      <x:c r="G12" s="60" t="str">
        <x:v>按绑架故意、索财对象错误、死亡结果归责、后续遗弃或毁灭证据等逐段评价，并处理罪数。</x:v>
      </x:c>
      <x:c r="H12" s="60" t="str">
        <x:v>官方公布</x:v>
      </x:c>
      <x:c r="I12" s="60" t="str">
        <x:v>https://www.moj.gov.cn/jgsz/jgszzsdw/zsdwgjsfkszx/gjsfkskskt/201805/t20180510_172368.html</x:v>
      </x:c>
      <x:c r="J12" s="60" t="str">
        <x:v>https://www.eol.cn/m/zige/201709/t20170922_1556036.shtml</x:v>
      </x:c>
      <x:c r="K12" s="60" t="str">
        <x:v>司法部公开题面；答案链接为公开转载页面。</x:v>
      </x:c>
    </x:row>
    <x:row r="13" ht="54" customHeight="1">
      <x:c r="A13" s="60" t="n">
        <x:v>2017</x:v>
      </x:c>
      <x:c r="B13" s="60" t="str">
        <x:v>2017 年国家司法考试试卷四</x:v>
      </x:c>
      <x:c r="C13" s="60" t="str">
        <x:v>三</x:v>
      </x:c>
      <x:c r="D13" s="60" t="str">
        <x:v>刑事诉讼法</x:v>
      </x:c>
      <x:c r="E13" s="60" t="str">
        <x:v>上诉抗诉、二审、再审与裁判效力</x:v>
      </x:c>
      <x:c r="F13" s="60" t="str">
        <x:v>强奸案一审无罪后检察机关抗诉，继而发生二审和再审，判断各程序及裁判效力。</x:v>
      </x:c>
      <x:c r="G13" s="60" t="str">
        <x:v>区分抗诉类型与期限，审查二审全面审查、上诉不加刑适用和再审启动主体，最后确定生效裁判。</x:v>
      </x:c>
      <x:c r="H13" s="60" t="str">
        <x:v>官方公布</x:v>
      </x:c>
      <x:c r="I13" s="60" t="str">
        <x:v>https://www.moj.gov.cn/jgsz/jgszzsdw/zsdwgjsfkszx/gjsfkskskt/201805/t20180510_172368.html</x:v>
      </x:c>
      <x:c r="J13" s="60" t="str">
        <x:v>https://www.eol.cn/m/zige/201709/t20170922_1556036.shtml</x:v>
      </x:c>
      <x:c r="K13" s="60" t="str">
        <x:v>司法部公开题面；答案链接为公开转载页面。</x:v>
      </x:c>
    </x:row>
    <x:row r="14" ht="54" customHeight="1">
      <x:c r="A14" s="60" t="n">
        <x:v>2017</x:v>
      </x:c>
      <x:c r="B14" s="60" t="str">
        <x:v>2017 年国家司法考试试卷四</x:v>
      </x:c>
      <x:c r="C14" s="60" t="str">
        <x:v>四</x:v>
      </x:c>
      <x:c r="D14" s="60" t="str">
        <x:v>民法</x:v>
      </x:c>
      <x:c r="E14" s="60" t="str">
        <x:v>借贷、让与担保、保证、买卖租赁与保险</x:v>
      </x:c>
      <x:c r="F14" s="60" t="str">
        <x:v>借款与房屋买卖担保、个人独资企业、保证质押、房屋转让出租和火灾保险交织。</x:v>
      </x:c>
      <x:c r="G14" s="60" t="str">
        <x:v>按基础债权、担保安排效力、物权变动、买卖不破租赁与保险代位分别作答，避免一笔交易一概而论。</x:v>
      </x:c>
      <x:c r="H14" s="60" t="str">
        <x:v>官方公布</x:v>
      </x:c>
      <x:c r="I14" s="60" t="str">
        <x:v>https://www.moj.gov.cn/jgsz/jgszzsdw/zsdwgjsfkszx/gjsfkskskt/201805/t20180510_172368.html</x:v>
      </x:c>
      <x:c r="J14" s="60" t="str">
        <x:v>https://www.eol.cn/m/zige/201709/t20170922_1556036.shtml</x:v>
      </x:c>
      <x:c r="K14" s="60" t="str">
        <x:v>司法部公开题面；答案链接为公开转载页面。</x:v>
      </x:c>
    </x:row>
    <x:row r="15" ht="54" customHeight="1">
      <x:c r="A15" s="60" t="n">
        <x:v>2017</x:v>
      </x:c>
      <x:c r="B15" s="60" t="str">
        <x:v>2017 年国家司法考试试卷四</x:v>
      </x:c>
      <x:c r="C15" s="60" t="str">
        <x:v>五</x:v>
      </x:c>
      <x:c r="D15" s="60" t="str">
        <x:v>商法</x:v>
      </x:c>
      <x:c r="E15" s="60" t="str">
        <x:v>资本减少、董监高、股份回购、解散清算</x:v>
      </x:c>
      <x:c r="F15" s="60" t="str">
        <x:v>公司治理中涉及减资、管理人员解任、股份回购及解散清算。</x:v>
      </x:c>
      <x:c r="G15" s="60" t="str">
        <x:v>分别审查决议机关和程序、债权人保护、法定回购事由、忠实勤勉义务以及解散清算顺序。</x:v>
      </x:c>
      <x:c r="H15" s="60" t="str">
        <x:v>官方公布</x:v>
      </x:c>
      <x:c r="I15" s="60" t="str">
        <x:v>https://www.moj.gov.cn/jgsz/jgszzsdw/zsdwgjsfkszx/gjsfkskskt/201805/t20180510_172368.html</x:v>
      </x:c>
      <x:c r="J15" s="60" t="str">
        <x:v>https://www.eol.cn/m/zige/201709/t20170922_1556036.shtml</x:v>
      </x:c>
      <x:c r="K15" s="60" t="str">
        <x:v>司法部公开题面；答案链接为公开转载页面。</x:v>
      </x:c>
    </x:row>
    <x:row r="16" ht="54" customHeight="1">
      <x:c r="A16" s="60" t="n">
        <x:v>2017</x:v>
      </x:c>
      <x:c r="B16" s="60" t="str">
        <x:v>2017 年国家司法考试试卷四</x:v>
      </x:c>
      <x:c r="C16" s="60" t="str">
        <x:v>六</x:v>
      </x:c>
      <x:c r="D16" s="60" t="str">
        <x:v>民事诉讼法</x:v>
      </x:c>
      <x:c r="E16" s="60" t="str">
        <x:v>高空坠物、当事人、送达、缺席审判</x:v>
      </x:c>
      <x:c r="F16" s="60" t="str">
        <x:v>窗户坠落致伤，题目连续追问管辖、当事人、证明责任、送达与缺席审判。</x:v>
      </x:c>
      <x:c r="G16" s="60" t="str">
        <x:v>先锁定侵权责任主体及可能追加的当事人，再审查侵权地管辖、举证责任、合法送达和缺席裁判条件。</x:v>
      </x:c>
      <x:c r="H16" s="60" t="str">
        <x:v>官方公布</x:v>
      </x:c>
      <x:c r="I16" s="60" t="str">
        <x:v>https://www.moj.gov.cn/jgsz/jgszzsdw/zsdwgjsfkszx/gjsfkskskt/201805/t20180510_172368.html</x:v>
      </x:c>
      <x:c r="J16" s="60" t="str">
        <x:v>https://www.eol.cn/m/zige/201709/t20170922_1556036.shtml</x:v>
      </x:c>
      <x:c r="K16" s="60" t="str">
        <x:v>司法部公开题面；答案链接为公开转载页面。</x:v>
      </x:c>
    </x:row>
    <x:row r="17" ht="54" customHeight="1">
      <x:c r="A17" s="60" t="n">
        <x:v>2017</x:v>
      </x:c>
      <x:c r="B17" s="60" t="str">
        <x:v>2017 年国家司法考试试卷四</x:v>
      </x:c>
      <x:c r="C17" s="60" t="str">
        <x:v>七</x:v>
      </x:c>
      <x:c r="D17" s="60" t="str">
        <x:v>行政法</x:v>
      </x:c>
      <x:c r="E17" s="60" t="str">
        <x:v>工业盐许可处罚、听证、复议、法治政府</x:v>
      </x:c>
      <x:c r="F17" s="60" t="str">
        <x:v>工业盐经营引发许可、处罚、听证、复议和被告争议，并要求论述放管服背景下的法治政府。</x:v>
      </x:c>
      <x:c r="G17" s="60" t="str">
        <x:v>案例部分按许可或处罚性质、程序权利、复议决定及被告规则作答；论述部分围绕职能科学、权责法定、执法严明、公开公正和服务型政府。</x:v>
      </x:c>
      <x:c r="H17" s="60" t="str">
        <x:v>官方公布</x:v>
      </x:c>
      <x:c r="I17" s="60" t="str">
        <x:v>https://www.moj.gov.cn/jgsz/jgszzsdw/zsdwgjsfkszx/gjsfkskskt/201805/t20180510_172368.html</x:v>
      </x:c>
      <x:c r="J17" s="60" t="str">
        <x:v>https://www.eol.cn/m/zige/201709/t20170922_1556036.shtml</x:v>
      </x:c>
      <x:c r="K17" s="60" t="str">
        <x:v>司法部公开题面；答案链接为公开转载页面。</x:v>
      </x:c>
    </x:row>
    <x:row r="18" ht="54" customHeight="1">
      <x:c r="A18" s="60" t="n">
        <x:v>2018</x:v>
      </x:c>
      <x:c r="B18" s="60" t="str">
        <x:v>2018 年国家统一法律职业资格考试主观题</x:v>
      </x:c>
      <x:c r="C18" s="60" t="str">
        <x:v>一</x:v>
      </x:c>
      <x:c r="D18" s="60" t="str">
        <x:v>习近平法治思想/法理</x:v>
      </x:c>
      <x:c r="E18" s="60" t="str">
        <x:v>中国特色社会主义法治道路</x:v>
      </x:c>
      <x:c r="F18" s="60" t="str">
        <x:v>论述坚定走中国特色社会主义法治道路的核心要求。</x:v>
      </x:c>
      <x:c r="G18" s="60" t="str">
        <x:v>以党的领导、人民当家作主、依法治国有机统一为主线，说明道路自信、制度优势和实践要求。</x:v>
      </x:c>
      <x:c r="H18" s="60" t="str">
        <x:v>回忆版·多源核验</x:v>
      </x:c>
      <x:c r="I18" s="60" t="str">
        <x:v>https://www.233.com/sf/yijuan/zhenti/202004/26095349927.html</x:v>
      </x:c>
      <x:c r="J18" s="60" t="str">
        <x:v>https://www.233.com/sf/yijuan/zhenti/202004/26095349927.html</x:v>
      </x:c>
      <x:c r="K18" s="60" t="str">
        <x:v>改革后首届法考，官方不再公开完整试题和答案；以下为公开回忆版要点。</x:v>
      </x:c>
    </x:row>
    <x:row r="19" ht="54" customHeight="1">
      <x:c r="A19" s="60" t="n">
        <x:v>2018</x:v>
      </x:c>
      <x:c r="B19" s="60" t="str">
        <x:v>2018 年国家统一法律职业资格考试主观题</x:v>
      </x:c>
      <x:c r="C19" s="60" t="str">
        <x:v>二</x:v>
      </x:c>
      <x:c r="D19" s="60" t="str">
        <x:v>刑法</x:v>
      </x:c>
      <x:c r="E19" s="60" t="str">
        <x:v>信用卡、黑恶犯罪、绑架、枪支与结果归责</x:v>
      </x:c>
      <x:c r="F19" s="60" t="str">
        <x:v>POS 机超额刷卡、涉黑团伙、绑架、枪支及死亡结果等多行为综合分析。</x:v>
      </x:c>
      <x:c r="G19" s="60" t="str">
        <x:v>按时间轴拆分各行为，处理财产犯罪、共同犯罪、绑架与死亡结果、枪支犯罪及罪数。</x:v>
      </x:c>
      <x:c r="H19" s="60" t="str">
        <x:v>回忆版·多源核验</x:v>
      </x:c>
      <x:c r="I19" s="60" t="str">
        <x:v>https://www.233.com/sf/yijuan/zhenti/202004/26095349927.html</x:v>
      </x:c>
      <x:c r="J19" s="60" t="str">
        <x:v>https://www.233.com/sf/yijuan/zhenti/202004/26095349927.html</x:v>
      </x:c>
      <x:c r="K19" s="60" t="str">
        <x:v>改革后首届法考，官方不再公开完整试题和答案；以下为公开回忆版要点。</x:v>
      </x:c>
    </x:row>
    <x:row r="20" ht="54" customHeight="1">
      <x:c r="A20" s="60" t="n">
        <x:v>2018</x:v>
      </x:c>
      <x:c r="B20" s="60" t="str">
        <x:v>2018 年国家统一法律职业资格考试主观题</x:v>
      </x:c>
      <x:c r="C20" s="60" t="str">
        <x:v>三</x:v>
      </x:c>
      <x:c r="D20" s="60" t="str">
        <x:v>刑事诉讼法</x:v>
      </x:c>
      <x:c r="E20" s="60" t="str">
        <x:v>证据、因果关系与法律文书</x:v>
      </x:c>
      <x:c r="F20" s="60" t="str">
        <x:v>要求围绕证据对死亡因果关系和延误救助进行判断，并完成法律文书式论证。</x:v>
      </x:c>
      <x:c r="G20" s="60" t="str">
        <x:v>建立证据链，分别评价证据能力和证明力；结论必须回应合理怀疑及法律文书格式。</x:v>
      </x:c>
      <x:c r="H20" s="60" t="str">
        <x:v>回忆版·多源核验</x:v>
      </x:c>
      <x:c r="I20" s="60" t="str">
        <x:v>https://www.233.com/sf/yijuan/zhenti/202004/26095349927.html</x:v>
      </x:c>
      <x:c r="J20" s="60" t="str">
        <x:v>https://www.233.com/sf/yijuan/zhenti/202004/26095349927.html</x:v>
      </x:c>
      <x:c r="K20" s="60" t="str">
        <x:v>改革后首届法考，官方不再公开完整试题和答案；以下为公开回忆版要点。</x:v>
      </x:c>
    </x:row>
    <x:row r="21" ht="54" customHeight="1">
      <x:c r="A21" s="60" t="n">
        <x:v>2018</x:v>
      </x:c>
      <x:c r="B21" s="60" t="str">
        <x:v>2018 年国家统一法律职业资格考试主观题</x:v>
      </x:c>
      <x:c r="C21" s="60" t="str">
        <x:v>四</x:v>
      </x:c>
      <x:c r="D21" s="60" t="str">
        <x:v>民法/民事诉讼法</x:v>
      </x:c>
      <x:c r="E21" s="60" t="str">
        <x:v>借贷、保证、重复起诉</x:v>
      </x:c>
      <x:c r="F21" s="60" t="str">
        <x:v>借贷担保关系与民事诉讼程序交叉，涉及保证责任、诉讼标的和重复起诉。</x:v>
      </x:c>
      <x:c r="G21" s="60" t="str">
        <x:v>先处理实体债权和保证，再对照当事人、诉讼标的、诉讼请求判断是否重复起诉。</x:v>
      </x:c>
      <x:c r="H21" s="60" t="str">
        <x:v>回忆版·多源核验</x:v>
      </x:c>
      <x:c r="I21" s="60" t="str">
        <x:v>https://www.233.com/sf/yijuan/zhenti/202004/26095349927.html</x:v>
      </x:c>
      <x:c r="J21" s="60" t="str">
        <x:v>https://www.233.com/sf/yijuan/zhenti/202004/26095349927.html</x:v>
      </x:c>
      <x:c r="K21" s="60" t="str">
        <x:v>改革后首届法考，官方不再公开完整试题和答案；以下为公开回忆版要点。</x:v>
      </x:c>
    </x:row>
    <x:row r="22" ht="54" customHeight="1">
      <x:c r="A22" s="60" t="n">
        <x:v>2018</x:v>
      </x:c>
      <x:c r="B22" s="60" t="str">
        <x:v>2018 年国家统一法律职业资格考试主观题</x:v>
      </x:c>
      <x:c r="C22" s="60" t="str">
        <x:v>五</x:v>
      </x:c>
      <x:c r="D22" s="60" t="str">
        <x:v>商法</x:v>
      </x:c>
      <x:c r="E22" s="60" t="str">
        <x:v>股权代持、出资、股权转让与善意取得</x:v>
      </x:c>
      <x:c r="F22" s="60" t="str">
        <x:v>围绕公司股权代持、出资义务和股权转让效力分析。</x:v>
      </x:c>
      <x:c r="G22" s="60" t="str">
        <x:v>区分代持内部关系与外部登记效力，审查出资责任、转让处分权限及相对人善意。</x:v>
      </x:c>
      <x:c r="H22" s="60" t="str">
        <x:v>回忆版·多源核验</x:v>
      </x:c>
      <x:c r="I22" s="60" t="str">
        <x:v>https://www.233.com/sf/yijuan/zhenti/202004/26095349927.html</x:v>
      </x:c>
      <x:c r="J22" s="60" t="str">
        <x:v>https://www.233.com/sf/yijuan/zhenti/202004/26095349927.html</x:v>
      </x:c>
      <x:c r="K22" s="60" t="str">
        <x:v>改革后首届法考，官方不再公开完整试题和答案；以下为公开回忆版要点。</x:v>
      </x:c>
    </x:row>
    <x:row r="23" ht="54" customHeight="1">
      <x:c r="A23" s="60" t="n">
        <x:v>2018</x:v>
      </x:c>
      <x:c r="B23" s="60" t="str">
        <x:v>2018 年国家统一法律职业资格考试主观题</x:v>
      </x:c>
      <x:c r="C23" s="60" t="str">
        <x:v>选做</x:v>
      </x:c>
      <x:c r="D23" s="60" t="str">
        <x:v>行政法</x:v>
      </x:c>
      <x:c r="E23" s="60" t="str">
        <x:v>强制拆除、程序与赔偿</x:v>
      </x:c>
      <x:c r="F23" s="60" t="str">
        <x:v>对强制拆除行为的权限、程序、救济和损失赔偿进行分析。</x:v>
      </x:c>
      <x:c r="G23" s="60" t="str">
        <x:v>分别判断强拆决定和实施行为，审查催告、公告、复议诉讼和行政赔偿举证。</x:v>
      </x:c>
      <x:c r="H23" s="60" t="str">
        <x:v>回忆版·多源核验</x:v>
      </x:c>
      <x:c r="I23" s="60" t="str">
        <x:v>https://www.233.com/sf/yijuan/zhenti/202004/26095349927.html</x:v>
      </x:c>
      <x:c r="J23" s="60" t="str">
        <x:v>https://www.233.com/sf/yijuan/zhenti/202004/26095349927.html</x:v>
      </x:c>
      <x:c r="K23" s="60" t="str">
        <x:v>改革后首届法考，官方不再公开完整试题和答案；以下为公开回忆版要点。</x:v>
      </x:c>
    </x:row>
    <x:row r="24" ht="54" customHeight="1">
      <x:c r="A24" s="60" t="n">
        <x:v>2019</x:v>
      </x:c>
      <x:c r="B24" s="60" t="str">
        <x:v>2019 年国家统一法律职业资格考试主观题</x:v>
      </x:c>
      <x:c r="C24" s="60" t="str">
        <x:v>一</x:v>
      </x:c>
      <x:c r="D24" s="60" t="str">
        <x:v>习近平法治思想/法理</x:v>
      </x:c>
      <x:c r="E24" s="60" t="str">
        <x:v>法治政府</x:v>
      </x:c>
      <x:c r="F24" s="60" t="str">
        <x:v>结合材料论述依法全面履行政府职能和法治政府建设。</x:v>
      </x:c>
      <x:c r="G24" s="60" t="str">
        <x:v>围绕职权法定、权责统一、规范执法、公开监督和服务效能组织。</x:v>
      </x:c>
      <x:c r="H24" s="60" t="str">
        <x:v>回忆版·多源核验</x:v>
      </x:c>
      <x:c r="I24" s="60" t="str">
        <x:v>https://www.233.com/sf/zhuguan/zhenti/201910/13175717788.html</x:v>
      </x:c>
      <x:c r="J24" s="60" t="str">
        <x:v>https://www.233.com/sf/zhuguan/zhenti/202212/13085256966559.html</x:v>
      </x:c>
      <x:c r="K24" s="60" t="str">
        <x:v>公开回忆题与教师解析综合整理。</x:v>
      </x:c>
    </x:row>
    <x:row r="25" ht="54" customHeight="1">
      <x:c r="A25" s="60" t="n">
        <x:v>2019</x:v>
      </x:c>
      <x:c r="B25" s="60" t="str">
        <x:v>2019 年国家统一法律职业资格考试主观题</x:v>
      </x:c>
      <x:c r="C25" s="60" t="str">
        <x:v>二</x:v>
      </x:c>
      <x:c r="D25" s="60" t="str">
        <x:v>刑法</x:v>
      </x:c>
      <x:c r="E25" s="60" t="str">
        <x:v>共同抢劫、诈骗、受贿、银行卡犯罪</x:v>
      </x:c>
      <x:c r="F25" s="60" t="str">
        <x:v>共同抢劫中的认识错误及死亡结果，与贷款诈骗、车辆质押诈骗、受贿、盗刷银行卡等连续事实。</x:v>
      </x:c>
      <x:c r="G25" s="60" t="str">
        <x:v>按行为人和行为段落确定罪名、共同故意、结果归责、身份犯和罪数，不用一个总罪名包办。</x:v>
      </x:c>
      <x:c r="H25" s="60" t="str">
        <x:v>回忆版·多源核验</x:v>
      </x:c>
      <x:c r="I25" s="60" t="str">
        <x:v>https://www.233.com/sf/zhuguan/zhenti/201910/13175717788.html</x:v>
      </x:c>
      <x:c r="J25" s="60" t="str">
        <x:v>https://www.233.com/sf/zhuguan/zhenti/202212/13085256966559.html</x:v>
      </x:c>
      <x:c r="K25" s="60" t="str">
        <x:v>公开回忆题与教师解析综合整理。</x:v>
      </x:c>
    </x:row>
    <x:row r="26" ht="54" customHeight="1">
      <x:c r="A26" s="60" t="n">
        <x:v>2019</x:v>
      </x:c>
      <x:c r="B26" s="60" t="str">
        <x:v>2019 年国家统一法律职业资格考试主观题</x:v>
      </x:c>
      <x:c r="C26" s="60" t="str">
        <x:v>三</x:v>
      </x:c>
      <x:c r="D26" s="60" t="str">
        <x:v>刑事诉讼法</x:v>
      </x:c>
      <x:c r="E26" s="60" t="str">
        <x:v>证据不足与无罪判决</x:v>
      </x:c>
      <x:c r="F26" s="60" t="str">
        <x:v>以证据体系存在矛盾为背景，判断能否达到排除合理怀疑及相应裁判。</x:v>
      </x:c>
      <x:c r="G26" s="60" t="str">
        <x:v>逐项审查取证合法性和证明力，证据链不能闭合时贯彻疑罪从无。</x:v>
      </x:c>
      <x:c r="H26" s="60" t="str">
        <x:v>回忆版·多源核验</x:v>
      </x:c>
      <x:c r="I26" s="60" t="str">
        <x:v>https://www.233.com/sf/zhuguan/zhenti/201910/13175717788.html</x:v>
      </x:c>
      <x:c r="J26" s="60" t="str">
        <x:v>https://www.233.com/sf/zhuguan/zhenti/202212/13085256966559.html</x:v>
      </x:c>
      <x:c r="K26" s="60" t="str">
        <x:v>公开回忆题与教师解析综合整理。</x:v>
      </x:c>
    </x:row>
    <x:row r="27" ht="54" customHeight="1">
      <x:c r="A27" s="60" t="n">
        <x:v>2019</x:v>
      </x:c>
      <x:c r="B27" s="60" t="str">
        <x:v>2019 年国家统一法律职业资格考试主观题</x:v>
      </x:c>
      <x:c r="C27" s="60" t="str">
        <x:v>四</x:v>
      </x:c>
      <x:c r="D27" s="60" t="str">
        <x:v>民法/民事诉讼法</x:v>
      </x:c>
      <x:c r="E27" s="60" t="str">
        <x:v>以物抵债、债权人撤销权、夫妻保证、票据质押</x:v>
      </x:c>
      <x:c r="F27" s="60" t="str">
        <x:v>多层合同担保事实涉及以物抵债、债权保全、夫妻一方保证、票据质押与诉讼保全。</x:v>
      </x:c>
      <x:c r="G27" s="60" t="str">
        <x:v>先确定主债权，再分别判断代物清偿、撤销权要件、保证效力、票据质押公示及保全程序。</x:v>
      </x:c>
      <x:c r="H27" s="60" t="str">
        <x:v>回忆版·多源核验</x:v>
      </x:c>
      <x:c r="I27" s="60" t="str">
        <x:v>https://www.233.com/sf/zhuguan/zhenti/201910/13175717788.html</x:v>
      </x:c>
      <x:c r="J27" s="60" t="str">
        <x:v>https://www.233.com/sf/zhuguan/zhenti/202212/13085256966559.html</x:v>
      </x:c>
      <x:c r="K27" s="60" t="str">
        <x:v>公开回忆题与教师解析综合整理。</x:v>
      </x:c>
    </x:row>
    <x:row r="28" ht="54" customHeight="1">
      <x:c r="A28" s="60" t="n">
        <x:v>2019</x:v>
      </x:c>
      <x:c r="B28" s="60" t="str">
        <x:v>2019 年国家统一法律职业资格考试主观题</x:v>
      </x:c>
      <x:c r="C28" s="60" t="str">
        <x:v>五</x:v>
      </x:c>
      <x:c r="D28" s="60" t="str">
        <x:v>商法</x:v>
      </x:c>
      <x:c r="E28" s="60" t="str">
        <x:v>股权质押、代持、重整与增资</x:v>
      </x:c>
      <x:c r="F28" s="60" t="str">
        <x:v>公司股权质押和代持关系进入重整、增资场景后的权利顺位。</x:v>
      </x:c>
      <x:c r="G28" s="60" t="str">
        <x:v>以公司登记、质权设立、代持内部外部效力和重整程序中的权利申报为轴作答。</x:v>
      </x:c>
      <x:c r="H28" s="60" t="str">
        <x:v>回忆版·多源核验</x:v>
      </x:c>
      <x:c r="I28" s="60" t="str">
        <x:v>https://www.233.com/sf/zhuguan/zhenti/201910/13175717788.html</x:v>
      </x:c>
      <x:c r="J28" s="60" t="str">
        <x:v>https://www.233.com/sf/zhuguan/zhenti/202212/13085256966559.html</x:v>
      </x:c>
      <x:c r="K28" s="60" t="str">
        <x:v>公开回忆题与教师解析综合整理。</x:v>
      </x:c>
    </x:row>
    <x:row r="29" ht="54" customHeight="1">
      <x:c r="A29" s="60" t="n">
        <x:v>2019</x:v>
      </x:c>
      <x:c r="B29" s="60" t="str">
        <x:v>2019 年国家统一法律职业资格考试主观题</x:v>
      </x:c>
      <x:c r="C29" s="60" t="str">
        <x:v>选做</x:v>
      </x:c>
      <x:c r="D29" s="60" t="str">
        <x:v>行政法</x:v>
      </x:c>
      <x:c r="E29" s="60" t="str">
        <x:v>行政许可与处罚救济</x:v>
      </x:c>
      <x:c r="F29" s="60" t="str">
        <x:v>行政机关作出许可或处罚后引发复议与诉讼。</x:v>
      </x:c>
      <x:c r="G29" s="60" t="str">
        <x:v>按行为性质、原告资格、复议机关、被告和裁判方式完成闭环。</x:v>
      </x:c>
      <x:c r="H29" s="60" t="str">
        <x:v>回忆版·多源核验</x:v>
      </x:c>
      <x:c r="I29" s="60" t="str">
        <x:v>https://www.233.com/sf/zhuguan/zhenti/201910/13175717788.html</x:v>
      </x:c>
      <x:c r="J29" s="60" t="str">
        <x:v>https://www.233.com/sf/zhuguan/zhenti/202212/13085256966559.html</x:v>
      </x:c>
      <x:c r="K29" s="60" t="str">
        <x:v>公开回忆题与教师解析综合整理。</x:v>
      </x:c>
    </x:row>
    <x:row r="30" ht="54" customHeight="1">
      <x:c r="A30" s="60" t="n">
        <x:v>2020</x:v>
      </x:c>
      <x:c r="B30" s="60" t="str">
        <x:v>2020 年国家统一法律职业资格考试主观题</x:v>
      </x:c>
      <x:c r="C30" s="60" t="str">
        <x:v>一</x:v>
      </x:c>
      <x:c r="D30" s="60" t="str">
        <x:v>习近平法治思想/法理</x:v>
      </x:c>
      <x:c r="E30" s="60" t="str">
        <x:v>国家治理现代化、依法防疫</x:v>
      </x:c>
      <x:c r="F30" s="60" t="str">
        <x:v>结合疫情防控论述法治在国家治理体系和治理能力现代化中的作用。</x:v>
      </x:c>
      <x:c r="G30" s="60" t="str">
        <x:v>从依法决策、依法行政、权利保障、应急治理和社会协同说明法治固根本、稳预期、利长远。</x:v>
      </x:c>
      <x:c r="H30" s="60" t="str">
        <x:v>回忆版·多源核验</x:v>
      </x:c>
      <x:c r="I30" s="60" t="str">
        <x:v>https://www.233.com/sf/zhuguan/zhenti/202012/01085212579.html</x:v>
      </x:c>
      <x:c r="J30" s="60" t="str">
        <x:v>https://www.233.com/sf/zhuguan/zhenti/202012/01085212579.html</x:v>
      </x:c>
      <x:c r="K30" s="60" t="str">
        <x:v>公开回忆题汇总。</x:v>
      </x:c>
    </x:row>
    <x:row r="31" ht="54" customHeight="1">
      <x:c r="A31" s="60" t="n">
        <x:v>2020</x:v>
      </x:c>
      <x:c r="B31" s="60" t="str">
        <x:v>2020 年国家统一法律职业资格考试主观题</x:v>
      </x:c>
      <x:c r="C31" s="60" t="str">
        <x:v>二</x:v>
      </x:c>
      <x:c r="D31" s="60" t="str">
        <x:v>刑法</x:v>
      </x:c>
      <x:c r="E31" s="60" t="str">
        <x:v>盗伐林木、职务犯罪、敲诈勒索与因果关系</x:v>
      </x:c>
      <x:c r="F31" s="60" t="str">
        <x:v>林木采伐、国家工作人员、装修纠纷、敲诈勒索、互殴及死亡结果交织。</x:v>
      </x:c>
      <x:c r="G31" s="60" t="str">
        <x:v>逐段判断行为对象和身份，处理财产犯罪与职务犯罪、敲诈勒索、正当防卫或互殴、死亡结果归责。</x:v>
      </x:c>
      <x:c r="H31" s="60" t="str">
        <x:v>回忆版·多源核验</x:v>
      </x:c>
      <x:c r="I31" s="60" t="str">
        <x:v>https://www.233.com/sf/zhuguan/zhenti/202012/01085212579.html</x:v>
      </x:c>
      <x:c r="J31" s="60" t="str">
        <x:v>https://www.233.com/sf/zhuguan/zhenti/202012/01085212579.html</x:v>
      </x:c>
      <x:c r="K31" s="60" t="str">
        <x:v>公开回忆题汇总。</x:v>
      </x:c>
    </x:row>
    <x:row r="32" ht="54" customHeight="1">
      <x:c r="A32" s="60" t="n">
        <x:v>2020</x:v>
      </x:c>
      <x:c r="B32" s="60" t="str">
        <x:v>2020 年国家统一法律职业资格考试主观题</x:v>
      </x:c>
      <x:c r="C32" s="60" t="str">
        <x:v>三</x:v>
      </x:c>
      <x:c r="D32" s="60" t="str">
        <x:v>刑事诉讼法</x:v>
      </x:c>
      <x:c r="E32" s="60" t="str">
        <x:v>网络犯罪管辖、讯问录音录像、鉴定意见</x:v>
      </x:c>
      <x:c r="F32" s="60" t="str">
        <x:v>网络犯罪侦查涉及管辖，口供与同步录音录像不一致，价格认定材料性质存疑。</x:v>
      </x:c>
      <x:c r="G32" s="60" t="str">
        <x:v>先审查管辖连接点；口供矛盾需结合录音录像判断合法性真实性；价格认定是否属于鉴定意见应依法定程序和主体资格判断。</x:v>
      </x:c>
      <x:c r="H32" s="60" t="str">
        <x:v>回忆版·多源核验</x:v>
      </x:c>
      <x:c r="I32" s="60" t="str">
        <x:v>https://www.233.com/sf/zhuguan/zhenti/202012/01085212579.html</x:v>
      </x:c>
      <x:c r="J32" s="60" t="str">
        <x:v>https://www.233.com/sf/zhuguan/zhenti/202012/01085212579.html</x:v>
      </x:c>
      <x:c r="K32" s="60" t="str">
        <x:v>公开回忆题汇总。</x:v>
      </x:c>
    </x:row>
    <x:row r="33" ht="54" customHeight="1">
      <x:c r="A33" s="60" t="n">
        <x:v>2020</x:v>
      </x:c>
      <x:c r="B33" s="60" t="str">
        <x:v>2020 年国家统一法律职业资格考试主观题</x:v>
      </x:c>
      <x:c r="C33" s="60" t="str">
        <x:v>四</x:v>
      </x:c>
      <x:c r="D33" s="60" t="str">
        <x:v>民法/商法/民事诉讼法</x:v>
      </x:c>
      <x:c r="E33" s="60" t="str">
        <x:v>房地产融资、保证、浮动抵押、破产重整</x:v>
      </x:c>
      <x:c r="F33" s="60" t="str">
        <x:v>房地产开发融资串联股东、保证、浮动抵押、赠与、销售广告、重整及鉴定程序。</x:v>
      </x:c>
      <x:c r="G33" s="60" t="str">
        <x:v>按主体关系分层，先合同债权和担保顺位，再处理广告承诺、股东责任、破产受理后权利行使与诉讼程序。</x:v>
      </x:c>
      <x:c r="H33" s="60" t="str">
        <x:v>回忆版·多源核验</x:v>
      </x:c>
      <x:c r="I33" s="60" t="str">
        <x:v>https://www.233.com/sf/zhuguan/zhenti/202012/01085212579.html</x:v>
      </x:c>
      <x:c r="J33" s="60" t="str">
        <x:v>https://www.233.com/sf/zhuguan/zhenti/202012/01085212579.html</x:v>
      </x:c>
      <x:c r="K33" s="60" t="str">
        <x:v>公开回忆题汇总。</x:v>
      </x:c>
    </x:row>
    <x:row r="34" ht="54" customHeight="1">
      <x:c r="A34" s="60" t="n">
        <x:v>2020</x:v>
      </x:c>
      <x:c r="B34" s="60" t="str">
        <x:v>2020 年国家统一法律职业资格考试主观题</x:v>
      </x:c>
      <x:c r="C34" s="60" t="str">
        <x:v>选做一</x:v>
      </x:c>
      <x:c r="D34" s="60" t="str">
        <x:v>行政法</x:v>
      </x:c>
      <x:c r="E34" s="60" t="str">
        <x:v>拆迁补偿协议、仲裁条款、信息公开</x:v>
      </x:c>
      <x:c r="F34" s="60" t="str">
        <x:v>征收拆迁补偿协议约定仲裁，后又发生信息公开争议。</x:v>
      </x:c>
      <x:c r="G34" s="60" t="str">
        <x:v>行政协议争议原则上走行政诉讼，仲裁约定效力须依行政协议可仲裁性判断；信息公开行为另行审查。</x:v>
      </x:c>
      <x:c r="H34" s="60" t="str">
        <x:v>回忆版·多源核验</x:v>
      </x:c>
      <x:c r="I34" s="60" t="str">
        <x:v>https://www.233.com/sf/zhuguan/zhenti/202012/01085212579.html</x:v>
      </x:c>
      <x:c r="J34" s="60" t="str">
        <x:v>https://www.233.com/sf/zhuguan/zhenti/202012/01085212579.html</x:v>
      </x:c>
      <x:c r="K34" s="60" t="str">
        <x:v>公开回忆题汇总。</x:v>
      </x:c>
    </x:row>
    <x:row r="35" ht="54" customHeight="1">
      <x:c r="A35" s="60" t="n">
        <x:v>2020</x:v>
      </x:c>
      <x:c r="B35" s="60" t="str">
        <x:v>2020 年国家统一法律职业资格考试主观题</x:v>
      </x:c>
      <x:c r="C35" s="60" t="str">
        <x:v>选做二</x:v>
      </x:c>
      <x:c r="D35" s="60" t="str">
        <x:v>商法</x:v>
      </x:c>
      <x:c r="E35" s="60" t="str">
        <x:v>员工持股、增资、关联交易、股东除名</x:v>
      </x:c>
      <x:c r="F35" s="60" t="str">
        <x:v>公司员工持股和增资后，董事关联贷款及股东除名引发争议。</x:v>
      </x:c>
      <x:c r="G35" s="60" t="str">
        <x:v>分别审查出资程序、董事忠实义务与关联交易效力、股东除名的法定条件和催缴程序。</x:v>
      </x:c>
      <x:c r="H35" s="60" t="str">
        <x:v>回忆版·多源核验</x:v>
      </x:c>
      <x:c r="I35" s="60" t="str">
        <x:v>https://www.233.com/sf/zhuguan/zhenti/202012/01085212579.html</x:v>
      </x:c>
      <x:c r="J35" s="60" t="str">
        <x:v>https://www.233.com/sf/zhuguan/zhenti/202012/01085212579.html</x:v>
      </x:c>
      <x:c r="K35" s="60" t="str">
        <x:v>公开回忆题汇总。</x:v>
      </x:c>
    </x:row>
    <x:row r="36" ht="54" customHeight="1">
      <x:c r="A36" s="60" t="n">
        <x:v>2021</x:v>
      </x:c>
      <x:c r="B36" s="60" t="str">
        <x:v>2021 年国家统一法律职业资格考试主观题</x:v>
      </x:c>
      <x:c r="C36" s="60" t="str">
        <x:v>一</x:v>
      </x:c>
      <x:c r="D36" s="60" t="str">
        <x:v>习近平法治思想/法理</x:v>
      </x:c>
      <x:c r="E36" s="60" t="str">
        <x:v>以人民为中心的法治建设</x:v>
      </x:c>
      <x:c r="F36" s="60" t="str">
        <x:v>论述全面依法治国为什么必须坚持以人民为中心。</x:v>
      </x:c>
      <x:c r="G36" s="60" t="str">
        <x:v>以人民主体地位、权益保障、公平正义、全过程人民民主和法治成果共享构建论证。</x:v>
      </x:c>
      <x:c r="H36" s="60" t="str">
        <x:v>回忆版·多源核验</x:v>
      </x:c>
      <x:c r="I36" s="60" t="str">
        <x:v>https://www.233.com/sf/zhuguan/zhenti/202112/20112947400432.html</x:v>
      </x:c>
      <x:c r="J36" s="60" t="str">
        <x:v>https://www.233.com/sf/zhuguan/zhenti/202112/20112947400432.html</x:v>
      </x:c>
      <x:c r="K36" s="60" t="str">
        <x:v>部分考区延期，公开资料存在常规卷与延期卷，使用时先核对卷别。</x:v>
      </x:c>
    </x:row>
    <x:row r="37" ht="54" customHeight="1">
      <x:c r="A37" s="60" t="n">
        <x:v>2021</x:v>
      </x:c>
      <x:c r="B37" s="60" t="str">
        <x:v>2021 年国家统一法律职业资格考试主观题</x:v>
      </x:c>
      <x:c r="C37" s="60" t="str">
        <x:v>二</x:v>
      </x:c>
      <x:c r="D37" s="60" t="str">
        <x:v>刑法</x:v>
      </x:c>
      <x:c r="E37" s="60" t="str">
        <x:v>抢劫、信用卡、生产销售伪劣产品、财产性利益</x:v>
      </x:c>
      <x:c r="F37" s="60" t="str">
        <x:v>儿童受胁取财、手机银行与信用卡、低档酒冒充、为逃债杀人并取财等事实。</x:v>
      </x:c>
      <x:c r="G37" s="60" t="str">
        <x:v>区分盗窃转化、抢劫胁迫，信用卡和网络支付犯罪，诈骗与伪劣产品犯罪，以及财产性利益能否成为抢劫对象。</x:v>
      </x:c>
      <x:c r="H37" s="60" t="str">
        <x:v>回忆版·多源核验</x:v>
      </x:c>
      <x:c r="I37" s="60" t="str">
        <x:v>https://www.233.com/sf/zhuguan/zhenti/202112/20112947400432.html</x:v>
      </x:c>
      <x:c r="J37" s="60" t="str">
        <x:v>https://www.233.com/sf/zhuguan/zhenti/202112/20112947400432.html</x:v>
      </x:c>
      <x:c r="K37" s="60" t="str">
        <x:v>部分考区延期，公开资料存在常规卷与延期卷，使用时先核对卷别。</x:v>
      </x:c>
    </x:row>
    <x:row r="38" ht="54" customHeight="1">
      <x:c r="A38" s="60" t="n">
        <x:v>2021</x:v>
      </x:c>
      <x:c r="B38" s="60" t="str">
        <x:v>2021 年国家统一法律职业资格考试主观题</x:v>
      </x:c>
      <x:c r="C38" s="60" t="str">
        <x:v>三</x:v>
      </x:c>
      <x:c r="D38" s="60" t="str">
        <x:v>刑事诉讼法</x:v>
      </x:c>
      <x:c r="E38" s="60" t="str">
        <x:v>逮捕比例、认罪认罚、非法证据、回避</x:v>
      </x:c>
      <x:c r="F38" s="60" t="str">
        <x:v>考查逮捕必要性、认罪认罚、非法证人证言及派生电子数据、回避与庭前会议。</x:v>
      </x:c>
      <x:c r="G38" s="60" t="str">
        <x:v>分别从强制措施比例原则、程序自愿真实、非法证据排除范围、回避事由与庭前解决程序问题作答。</x:v>
      </x:c>
      <x:c r="H38" s="60" t="str">
        <x:v>回忆版·多源核验</x:v>
      </x:c>
      <x:c r="I38" s="60" t="str">
        <x:v>https://www.233.com/sf/zhuguan/zhenti/202112/20112947400432.html</x:v>
      </x:c>
      <x:c r="J38" s="60" t="str">
        <x:v>https://www.233.com/sf/zhuguan/zhenti/202112/20112947400432.html</x:v>
      </x:c>
      <x:c r="K38" s="60" t="str">
        <x:v>部分考区延期，公开资料存在常规卷与延期卷，使用时先核对卷别。</x:v>
      </x:c>
    </x:row>
    <x:row r="39" ht="54" customHeight="1">
      <x:c r="A39" s="60" t="n">
        <x:v>2021</x:v>
      </x:c>
      <x:c r="B39" s="60" t="str">
        <x:v>2021 年国家统一法律职业资格考试主观题</x:v>
      </x:c>
      <x:c r="C39" s="60" t="str">
        <x:v>四</x:v>
      </x:c>
      <x:c r="D39" s="60" t="str">
        <x:v>民法/民事诉讼法</x:v>
      </x:c>
      <x:c r="E39" s="60" t="str">
        <x:v>高空抛物、监护、二维码收款、机会损失</x:v>
      </x:c>
      <x:c r="F39" s="60" t="str">
        <x:v>未成年人高空抛物，物业安全保障、收款二维码、监护责任、缔约机会损失及执行和解交织。</x:v>
      </x:c>
      <x:c r="G39" s="60" t="str">
        <x:v>区分直接侵权、监护人责任和物业补充责任；合同部分审查表见代理或不当得利、可预见损失；程序部分处理送达、上诉和执行和解。</x:v>
      </x:c>
      <x:c r="H39" s="60" t="str">
        <x:v>回忆版·多源核验</x:v>
      </x:c>
      <x:c r="I39" s="60" t="str">
        <x:v>https://www.233.com/sf/zhuguan/zhenti/202112/20112947400432.html</x:v>
      </x:c>
      <x:c r="J39" s="60" t="str">
        <x:v>https://www.233.com/sf/zhuguan/zhenti/202112/20112947400432.html</x:v>
      </x:c>
      <x:c r="K39" s="60" t="str">
        <x:v>部分考区延期，公开资料存在常规卷与延期卷，使用时先核对卷别。</x:v>
      </x:c>
    </x:row>
    <x:row r="40" ht="54" customHeight="1">
      <x:c r="A40" s="60" t="n">
        <x:v>2021</x:v>
      </x:c>
      <x:c r="B40" s="60" t="str">
        <x:v>2021 年国家统一法律职业资格考试主观题</x:v>
      </x:c>
      <x:c r="C40" s="60" t="str">
        <x:v>五</x:v>
      </x:c>
      <x:c r="D40" s="60" t="str">
        <x:v>商法</x:v>
      </x:c>
      <x:c r="E40" s="60" t="str">
        <x:v>资本公积、董事责任、投资协议与出资</x:v>
      </x:c>
      <x:c r="F40" s="60" t="str">
        <x:v>资本溢价、董事忠实勤勉义务、补偿协议、股东会决议和出资责任。</x:v>
      </x:c>
      <x:c r="G40" s="60" t="str">
        <x:v>明确资本公积用途与程序，审查董事责任归属、对赌或补偿协议效力、决议瑕疵及出资责任。</x:v>
      </x:c>
      <x:c r="H40" s="60" t="str">
        <x:v>回忆版·多源核验</x:v>
      </x:c>
      <x:c r="I40" s="60" t="str">
        <x:v>https://www.233.com/sf/zhuguan/zhenti/202112/20112947400432.html</x:v>
      </x:c>
      <x:c r="J40" s="60" t="str">
        <x:v>https://www.233.com/sf/zhuguan/zhenti/202112/20112947400432.html</x:v>
      </x:c>
      <x:c r="K40" s="60" t="str">
        <x:v>部分考区延期，公开资料存在常规卷与延期卷，使用时先核对卷别。</x:v>
      </x:c>
    </x:row>
    <x:row r="41" ht="54" customHeight="1">
      <x:c r="A41" s="60" t="n">
        <x:v>2021</x:v>
      </x:c>
      <x:c r="B41" s="60" t="str">
        <x:v>2021 年国家统一法律职业资格考试主观题</x:v>
      </x:c>
      <x:c r="C41" s="60" t="str">
        <x:v>选做</x:v>
      </x:c>
      <x:c r="D41" s="60" t="str">
        <x:v>行政法</x:v>
      </x:c>
      <x:c r="E41" s="60" t="str">
        <x:v>土地收回、行政赔偿、二审裁判</x:v>
      </x:c>
      <x:c r="F41" s="60" t="str">
        <x:v>土地收回引发原告被告、行为性质、赔偿证明、第三人和二审漏判补偿问题。</x:v>
      </x:c>
      <x:c r="G41" s="60" t="str">
        <x:v>先定性收回行为和当事人；赔偿举证结合行政机关违法造成证据灭失规则；二审对漏判请求依法处理。</x:v>
      </x:c>
      <x:c r="H41" s="60" t="str">
        <x:v>回忆版·多源核验</x:v>
      </x:c>
      <x:c r="I41" s="60" t="str">
        <x:v>https://www.233.com/sf/zhuguan/zhenti/202112/20112947400432.html</x:v>
      </x:c>
      <x:c r="J41" s="60" t="str">
        <x:v>https://www.233.com/sf/zhuguan/zhenti/202112/20112947400432.html</x:v>
      </x:c>
      <x:c r="K41" s="60" t="str">
        <x:v>部分考区延期，公开资料存在常规卷与延期卷，使用时先核对卷别。</x:v>
      </x:c>
    </x:row>
    <x:row r="42" ht="54" customHeight="1">
      <x:c r="A42" s="60" t="n">
        <x:v>2022</x:v>
      </x:c>
      <x:c r="B42" s="60" t="str">
        <x:v>2022 年国家统一法律职业资格考试主观题（延期至 2023 年举行）</x:v>
      </x:c>
      <x:c r="C42" s="60" t="str">
        <x:v>整卷</x:v>
      </x:c>
      <x:c r="D42" s="60" t="str">
        <x:v>综合</x:v>
      </x:c>
      <x:c r="E42" s="60" t="str">
        <x:v>一论述题、五案例题</x:v>
      </x:c>
      <x:c r="F42" s="60" t="str">
        <x:v>2022 年主观题整卷公开回忆入口；逐题题面需在在线题库中核对。</x:v>
      </x:c>
      <x:c r="G42" s="60" t="str">
        <x:v>建议在原页面按卷别查看。由于公开索引不稳定，本版不填充未经核验的具体案情和结论。</x:v>
      </x:c>
      <x:c r="H42" s="60" t="str">
        <x:v>回忆版·待逐题复核</x:v>
      </x:c>
      <x:c r="I42" s="60" t="str">
        <x:v>https://ks.233.com/tiku/exam/item/425281</x:v>
      </x:c>
      <x:c r="J42" s="60" t="str">
        <x:v>https://www.233.com/sf/yijuan/zhenti/202209/09142239864179.html</x:v>
      </x:c>
      <x:c r="K42" s="60" t="str">
        <x:v>主观题考试延期至 2023-03-26；公开在线题库显示 180 分、240 分钟、1 道论述题和 5 道案例题。当前保留整卷入口，不对未稳定索引的逐题题面作推断。</x:v>
      </x:c>
    </x:row>
    <x:row r="43" ht="54" customHeight="1">
      <x:c r="A43" s="60" t="n">
        <x:v>2023</x:v>
      </x:c>
      <x:c r="B43" s="60" t="str">
        <x:v>2023 年国家统一法律职业资格考试主观题</x:v>
      </x:c>
      <x:c r="C43" s="60" t="str">
        <x:v>一</x:v>
      </x:c>
      <x:c r="D43" s="60" t="str">
        <x:v>习近平法治思想/法理</x:v>
      </x:c>
      <x:c r="E43" s="60" t="str">
        <x:v>全面依法治国</x:v>
      </x:c>
      <x:c r="F43" s="60" t="str">
        <x:v>结合年度材料论述全面依法治国相关命题。</x:v>
      </x:c>
      <x:c r="G43" s="60" t="str">
        <x:v>原公开页面可访问但摘要未稳定呈现完整题干，本库保留科目入口，答题应以材料关键词确定中心论点。</x:v>
      </x:c>
      <x:c r="H43" s="60" t="str">
        <x:v>回忆版·多源核验</x:v>
      </x:c>
      <x:c r="I43" s="60" t="str">
        <x:v>https://www.233.com/sf/zhuguan/zhenti/</x:v>
      </x:c>
      <x:c r="J43" s="60" t="str">
        <x:v>https://www.233.com/sf/zhuguan/zhenti/202310/13163755524462.html</x:v>
      </x:c>
      <x:c r="K43" s="60" t="str">
        <x:v>按科目公开回忆与教师解析汇总。</x:v>
      </x:c>
    </x:row>
    <x:row r="44" ht="54" customHeight="1">
      <x:c r="A44" s="60" t="n">
        <x:v>2023</x:v>
      </x:c>
      <x:c r="B44" s="60" t="str">
        <x:v>2023 年国家统一法律职业资格考试主观题</x:v>
      </x:c>
      <x:c r="C44" s="60" t="str">
        <x:v>二</x:v>
      </x:c>
      <x:c r="D44" s="60" t="str">
        <x:v>刑法</x:v>
      </x:c>
      <x:c r="E44" s="60" t="str">
        <x:v>帮助信息网络犯罪、侵占/职务行为、自首</x:v>
      </x:c>
      <x:c r="F44" s="60" t="str">
        <x:v>出售银行卡帮助电诈并伴随侵占等行为，重点分析陆某的犯罪和自首。</x:v>
      </x:c>
      <x:c r="G44" s="60" t="str">
        <x:v>审查明知程度和帮助行为与上游诈骗的关系，区分帮信与诈骗共犯；再判断财物占有基础和投案、如实供述范围。</x:v>
      </x:c>
      <x:c r="H44" s="60" t="str">
        <x:v>回忆版·多源核验</x:v>
      </x:c>
      <x:c r="I44" s="60" t="str">
        <x:v>https://www.233.com/sf/zhuguan/zhenti/</x:v>
      </x:c>
      <x:c r="J44" s="60" t="str">
        <x:v>https://www.233.com/sf/zhuguan/zhenti/202310/13163755524462.html</x:v>
      </x:c>
      <x:c r="K44" s="60" t="str">
        <x:v>按科目公开回忆与教师解析汇总。</x:v>
      </x:c>
    </x:row>
    <x:row r="45" ht="54" customHeight="1">
      <x:c r="A45" s="60" t="n">
        <x:v>2023</x:v>
      </x:c>
      <x:c r="B45" s="60" t="str">
        <x:v>2023 年国家统一法律职业资格考试主观题</x:v>
      </x:c>
      <x:c r="C45" s="60" t="str">
        <x:v>三</x:v>
      </x:c>
      <x:c r="D45" s="60" t="str">
        <x:v>刑事诉讼法</x:v>
      </x:c>
      <x:c r="E45" s="60" t="str">
        <x:v>年龄证据、合理怀疑、二审处理</x:v>
      </x:c>
      <x:c r="F45" s="60" t="str">
        <x:v>抢劫者向盗窃者索财，案件存在年龄证据矛盾，要求判断证明标准和二审处理。</x:v>
      </x:c>
      <x:c r="G45" s="60" t="str">
        <x:v>刑事责任年龄必须证据确实充分；无法排除合理怀疑时作有利被告判断，二审依一审事实证据和程序错误选择改判或发回。</x:v>
      </x:c>
      <x:c r="H45" s="60" t="str">
        <x:v>回忆版·多源核验</x:v>
      </x:c>
      <x:c r="I45" s="60" t="str">
        <x:v>https://www.233.com/sf/zhuguan/zhenti/</x:v>
      </x:c>
      <x:c r="J45" s="60" t="str">
        <x:v>https://www.233.com/sf/zhuguan/zhenti/202310/13163755524462.html</x:v>
      </x:c>
      <x:c r="K45" s="60" t="str">
        <x:v>按科目公开回忆与教师解析汇总。</x:v>
      </x:c>
    </x:row>
    <x:row r="46" ht="54" customHeight="1">
      <x:c r="A46" s="60" t="n">
        <x:v>2023</x:v>
      </x:c>
      <x:c r="B46" s="60" t="str">
        <x:v>2023 年国家统一法律职业资格考试主观题</x:v>
      </x:c>
      <x:c r="C46" s="60" t="str">
        <x:v>四</x:v>
      </x:c>
      <x:c r="D46" s="60" t="str">
        <x:v>民法/民事诉讼法</x:v>
      </x:c>
      <x:c r="E46" s="60" t="str">
        <x:v>合同、物权与程序综合</x:v>
      </x:c>
      <x:c r="F46" s="60" t="str">
        <x:v>年度民事综合回忆题，覆盖合同履行、担保和诉讼程序。</x:v>
      </x:c>
      <x:c r="G46" s="60" t="str">
        <x:v>按法律关系图拆分请求权基础，再写抗辩、担保顺位和程序处理。</x:v>
      </x:c>
      <x:c r="H46" s="60" t="str">
        <x:v>回忆版·多源核验</x:v>
      </x:c>
      <x:c r="I46" s="60" t="str">
        <x:v>https://www.233.com/sf/zhuguan/zhenti/</x:v>
      </x:c>
      <x:c r="J46" s="60" t="str">
        <x:v>https://www.233.com/sf/zhuguan/zhenti/202310/13163755524462.html</x:v>
      </x:c>
      <x:c r="K46" s="60" t="str">
        <x:v>按科目公开回忆与教师解析汇总。</x:v>
      </x:c>
    </x:row>
    <x:row r="47" ht="54" customHeight="1">
      <x:c r="A47" s="60" t="n">
        <x:v>2023</x:v>
      </x:c>
      <x:c r="B47" s="60" t="str">
        <x:v>2023 年国家统一法律职业资格考试主观题</x:v>
      </x:c>
      <x:c r="C47" s="60" t="str">
        <x:v>五</x:v>
      </x:c>
      <x:c r="D47" s="60" t="str">
        <x:v>商法</x:v>
      </x:c>
      <x:c r="E47" s="60" t="str">
        <x:v>公司资本、法定代表人、出资加速到期、破产</x:v>
      </x:c>
      <x:c r="F47" s="60" t="str">
        <x:v>公司资本运作、法定代表人订约、股东出资加速到期与破产程序。</x:v>
      </x:c>
      <x:c r="G47" s="60" t="str">
        <x:v>区分代表权限内部限制与外部效力，审查出资期限利益的例外、债权人保护和破产受理后的集中清偿。</x:v>
      </x:c>
      <x:c r="H47" s="60" t="str">
        <x:v>回忆版·多源核验</x:v>
      </x:c>
      <x:c r="I47" s="60" t="str">
        <x:v>https://www.233.com/sf/zhuguan/zhenti/</x:v>
      </x:c>
      <x:c r="J47" s="60" t="str">
        <x:v>https://www.233.com/sf/zhuguan/zhenti/202310/13163755524462.html</x:v>
      </x:c>
      <x:c r="K47" s="60" t="str">
        <x:v>按科目公开回忆与教师解析汇总。</x:v>
      </x:c>
    </x:row>
    <x:row r="48" ht="54" customHeight="1">
      <x:c r="A48" s="60" t="n">
        <x:v>2023</x:v>
      </x:c>
      <x:c r="B48" s="60" t="str">
        <x:v>2023 年国家统一法律职业资格考试主观题</x:v>
      </x:c>
      <x:c r="C48" s="60" t="str">
        <x:v>选做</x:v>
      </x:c>
      <x:c r="D48" s="60" t="str">
        <x:v>行政法</x:v>
      </x:c>
      <x:c r="E48" s="60" t="str">
        <x:v>行政行为与救济综合</x:v>
      </x:c>
      <x:c r="F48" s="60" t="str">
        <x:v>年度行政法选做回忆题。</x:v>
      </x:c>
      <x:c r="G48" s="60" t="str">
        <x:v>按行政主体、行为性质、合法性、复议诉讼和裁判方式五层组织；具体结论以原页卷别为准。</x:v>
      </x:c>
      <x:c r="H48" s="60" t="str">
        <x:v>回忆版·多源核验</x:v>
      </x:c>
      <x:c r="I48" s="60" t="str">
        <x:v>https://www.233.com/sf/zhuguan/zhenti/</x:v>
      </x:c>
      <x:c r="J48" s="60" t="str">
        <x:v>https://www.233.com/sf/zhuguan/zhenti/202310/13163755524462.html</x:v>
      </x:c>
      <x:c r="K48" s="60" t="str">
        <x:v>按科目公开回忆与教师解析汇总。</x:v>
      </x:c>
    </x:row>
    <x:row r="49" ht="54" customHeight="1">
      <x:c r="A49" s="60" t="n">
        <x:v>2024</x:v>
      </x:c>
      <x:c r="B49" s="60" t="str">
        <x:v>2024 年国家统一法律职业资格考试主观题</x:v>
      </x:c>
      <x:c r="C49" s="60" t="str">
        <x:v>一</x:v>
      </x:c>
      <x:c r="D49" s="60" t="str">
        <x:v>习近平法治思想/法理</x:v>
      </x:c>
      <x:c r="E49" s="60" t="str">
        <x:v>高水平社会主义市场经济与法治保障</x:v>
      </x:c>
      <x:c r="F49" s="60" t="str">
        <x:v>论述法治如何保障高水平社会主义市场经济和改革发展。</x:v>
      </x:c>
      <x:c r="G49" s="60" t="str">
        <x:v>以产权保护、公平竞争、统一市场、规范政府行为和稳定预期为论证层次。</x:v>
      </x:c>
      <x:c r="H49" s="60" t="str">
        <x:v>回忆版·多源核验</x:v>
      </x:c>
      <x:c r="I49" s="60" t="str">
        <x:v>https://www.weibo.com/ttarticle/p/show?id=2309635092622849933391</x:v>
      </x:c>
      <x:c r="J49" s="60" t="str">
        <x:v>https://www.weibo.com/ttarticle/p/show?id=2309635092622849933391</x:v>
      </x:c>
      <x:c r="K49" s="60" t="str">
        <x:v>公开机构教师回忆与解析合辑。</x:v>
      </x:c>
    </x:row>
    <x:row r="50" ht="54" customHeight="1">
      <x:c r="A50" s="60" t="n">
        <x:v>2024</x:v>
      </x:c>
      <x:c r="B50" s="60" t="str">
        <x:v>2024 年国家统一法律职业资格考试主观题</x:v>
      </x:c>
      <x:c r="C50" s="60" t="str">
        <x:v>二</x:v>
      </x:c>
      <x:c r="D50" s="60" t="str">
        <x:v>刑法</x:v>
      </x:c>
      <x:c r="E50" s="60" t="str">
        <x:v>冒充警察、电信诈骗、预备未遂、共同犯罪</x:v>
      </x:c>
      <x:c r="F50" s="60" t="str">
        <x:v>冒充警察实施电信诈骗，涉及犯罪预备与未遂；同伙入户并取得香烟等财物。</x:v>
      </x:c>
      <x:c r="G50" s="60" t="str">
        <x:v>逐人判断共同故意和分工，识别诈骗着手与未遂，另评入户取财行为及罪数。</x:v>
      </x:c>
      <x:c r="H50" s="60" t="str">
        <x:v>回忆版·多源核验</x:v>
      </x:c>
      <x:c r="I50" s="60" t="str">
        <x:v>https://www.weibo.com/ttarticle/p/show?id=2309635092622849933391</x:v>
      </x:c>
      <x:c r="J50" s="60" t="str">
        <x:v>https://www.weibo.com/ttarticle/p/show?id=2309635092622849933391</x:v>
      </x:c>
      <x:c r="K50" s="60" t="str">
        <x:v>公开机构教师回忆与解析合辑。</x:v>
      </x:c>
    </x:row>
    <x:row r="51" ht="54" customHeight="1">
      <x:c r="A51" s="60" t="n">
        <x:v>2024</x:v>
      </x:c>
      <x:c r="B51" s="60" t="str">
        <x:v>2024 年国家统一法律职业资格考试主观题</x:v>
      </x:c>
      <x:c r="C51" s="60" t="str">
        <x:v>三</x:v>
      </x:c>
      <x:c r="D51" s="60" t="str">
        <x:v>刑事诉讼法</x:v>
      </x:c>
      <x:c r="E51" s="60" t="str">
        <x:v>取保候审、上诉不加刑、抗诉</x:v>
      </x:c>
      <x:c r="F51" s="60" t="str">
        <x:v>围绕取保候审期限、上诉或抗诉后的二审裁判限制等问题。</x:v>
      </x:c>
      <x:c r="G51" s="60" t="str">
        <x:v>核对强制措施期限和变更解除义务；仅被告上诉时适用上诉不加刑，有检察抗诉等情形另论。</x:v>
      </x:c>
      <x:c r="H51" s="60" t="str">
        <x:v>回忆版·多源核验</x:v>
      </x:c>
      <x:c r="I51" s="60" t="str">
        <x:v>https://www.weibo.com/ttarticle/p/show?id=2309635092622849933391</x:v>
      </x:c>
      <x:c r="J51" s="60" t="str">
        <x:v>https://www.weibo.com/ttarticle/p/show?id=2309635092622849933391</x:v>
      </x:c>
      <x:c r="K51" s="60" t="str">
        <x:v>公开机构教师回忆与解析合辑。</x:v>
      </x:c>
    </x:row>
    <x:row r="52" ht="54" customHeight="1">
      <x:c r="A52" s="60" t="n">
        <x:v>2024</x:v>
      </x:c>
      <x:c r="B52" s="60" t="str">
        <x:v>2024 年国家统一法律职业资格考试主观题</x:v>
      </x:c>
      <x:c r="C52" s="60" t="str">
        <x:v>四</x:v>
      </x:c>
      <x:c r="D52" s="60" t="str">
        <x:v>民法/民事诉讼法</x:v>
      </x:c>
      <x:c r="E52" s="60" t="str">
        <x:v>民商事综合</x:v>
      </x:c>
      <x:c r="F52" s="60" t="str">
        <x:v>年度民商事综合回忆题，涵盖合同、担保及诉讼处理。</x:v>
      </x:c>
      <x:c r="G52" s="60" t="str">
        <x:v>以请求权基础为主线，程序问题单独编号，避免实体程序混写。</x:v>
      </x:c>
      <x:c r="H52" s="60" t="str">
        <x:v>回忆版·多源核验</x:v>
      </x:c>
      <x:c r="I52" s="60" t="str">
        <x:v>https://www.weibo.com/ttarticle/p/show?id=2309635092622849933391</x:v>
      </x:c>
      <x:c r="J52" s="60" t="str">
        <x:v>https://www.weibo.com/ttarticle/p/show?id=2309635092622849933391</x:v>
      </x:c>
      <x:c r="K52" s="60" t="str">
        <x:v>公开机构教师回忆与解析合辑。</x:v>
      </x:c>
    </x:row>
    <x:row r="53" ht="54" customHeight="1">
      <x:c r="A53" s="60" t="n">
        <x:v>2024</x:v>
      </x:c>
      <x:c r="B53" s="60" t="str">
        <x:v>2024 年国家统一法律职业资格考试主观题</x:v>
      </x:c>
      <x:c r="C53" s="60" t="str">
        <x:v>五</x:v>
      </x:c>
      <x:c r="D53" s="60" t="str">
        <x:v>商法</x:v>
      </x:c>
      <x:c r="E53" s="60" t="str">
        <x:v>公司与破产综合</x:v>
      </x:c>
      <x:c r="F53" s="60" t="str">
        <x:v>公司治理、出资和破产相关年度选做题。</x:v>
      </x:c>
      <x:c r="G53" s="60" t="str">
        <x:v>依公司资本规则、决议权限、董监高责任和破产集中清偿顺序作答。</x:v>
      </x:c>
      <x:c r="H53" s="60" t="str">
        <x:v>回忆版·多源核验</x:v>
      </x:c>
      <x:c r="I53" s="60" t="str">
        <x:v>https://www.weibo.com/ttarticle/p/show?id=2309635092622849933391</x:v>
      </x:c>
      <x:c r="J53" s="60" t="str">
        <x:v>https://www.weibo.com/ttarticle/p/show?id=2309635092622849933391</x:v>
      </x:c>
      <x:c r="K53" s="60" t="str">
        <x:v>公开机构教师回忆与解析合辑。</x:v>
      </x:c>
    </x:row>
    <x:row r="54" ht="54" customHeight="1">
      <x:c r="A54" s="60" t="n">
        <x:v>2024</x:v>
      </x:c>
      <x:c r="B54" s="60" t="str">
        <x:v>2024 年国家统一法律职业资格考试主观题</x:v>
      </x:c>
      <x:c r="C54" s="60" t="str">
        <x:v>选做</x:v>
      </x:c>
      <x:c r="D54" s="60" t="str">
        <x:v>行政法</x:v>
      </x:c>
      <x:c r="E54" s="60" t="str">
        <x:v>行政行为合法性综合</x:v>
      </x:c>
      <x:c r="F54" s="60" t="str">
        <x:v>行政法年度选做题，涉及行政执法与诉讼救济。</x:v>
      </x:c>
      <x:c r="G54" s="60" t="str">
        <x:v>对每一问先定性行为，再写主体、依据、程序、裁量和救济。</x:v>
      </x:c>
      <x:c r="H54" s="60" t="str">
        <x:v>回忆版·多源核验</x:v>
      </x:c>
      <x:c r="I54" s="60" t="str">
        <x:v>https://www.weibo.com/ttarticle/p/show?id=2309635092622849933391</x:v>
      </x:c>
      <x:c r="J54" s="60" t="str">
        <x:v>https://www.weibo.com/ttarticle/p/show?id=2309635092622849933391</x:v>
      </x:c>
      <x:c r="K54" s="60" t="str">
        <x:v>公开机构教师回忆与解析合辑。</x:v>
      </x:c>
    </x:row>
    <x:row r="55" ht="54" customHeight="1">
      <x:c r="A55" s="60" t="n">
        <x:v>2025</x:v>
      </x:c>
      <x:c r="B55" s="60" t="str">
        <x:v>2025 年国家统一法律职业资格考试主观题</x:v>
      </x:c>
      <x:c r="C55" s="60" t="str">
        <x:v>一</x:v>
      </x:c>
      <x:c r="D55" s="60" t="str">
        <x:v>习近平法治思想/法理</x:v>
      </x:c>
      <x:c r="E55" s="60" t="str">
        <x:v>中华法治文明与理论创新</x:v>
      </x:c>
      <x:c r="F55" s="60" t="str">
        <x:v>围绕中华法治文明，论述马克思主义基本原理同中国具体实际、中华优秀传统文化相结合。</x:v>
      </x:c>
      <x:c r="G55" s="60" t="str">
        <x:v>以理论根基、文化传承、实践创新和建设中国特色社会主义法治体系为层次，避免只罗列口号。</x:v>
      </x:c>
      <x:c r="H55" s="60" t="str">
        <x:v>回忆版·多源核验</x:v>
      </x:c>
      <x:c r="I55" s="60" t="str">
        <x:v>https://www.sohu.com/a/943712564_121124302</x:v>
      </x:c>
      <x:c r="J55" s="60" t="str">
        <x:v>https://www.sohu.com/a/943712564_121124302</x:v>
      </x:c>
      <x:c r="K55" s="60" t="str">
        <x:v>公开机构教师回忆与解析合辑；不同老师对个别争点可能有分歧。</x:v>
      </x:c>
    </x:row>
    <x:row r="56" ht="54" customHeight="1">
      <x:c r="A56" s="60" t="n">
        <x:v>2025</x:v>
      </x:c>
      <x:c r="B56" s="60" t="str">
        <x:v>2025 年国家统一法律职业资格考试主观题</x:v>
      </x:c>
      <x:c r="C56" s="60" t="str">
        <x:v>二</x:v>
      </x:c>
      <x:c r="D56" s="60" t="str">
        <x:v>刑法</x:v>
      </x:c>
      <x:c r="E56" s="60" t="str">
        <x:v>刑法综合案例</x:v>
      </x:c>
      <x:c r="F56" s="60" t="str">
        <x:v>年度刑法回忆题为多行为、多主体综合案例。</x:v>
      </x:c>
      <x:c r="G56" s="60" t="str">
        <x:v>先列时间轴和行为人，再逐行为判断构成要件、形态、共同犯罪、罪数和量刑情节；具体事实以原页为准。</x:v>
      </x:c>
      <x:c r="H56" s="60" t="str">
        <x:v>回忆版·多源核验</x:v>
      </x:c>
      <x:c r="I56" s="60" t="str">
        <x:v>https://www.sohu.com/a/943712564_121124302</x:v>
      </x:c>
      <x:c r="J56" s="60" t="str">
        <x:v>https://www.sohu.com/a/943712564_121124302</x:v>
      </x:c>
      <x:c r="K56" s="60" t="str">
        <x:v>公开机构教师回忆与解析合辑；不同老师对个别争点可能有分歧。</x:v>
      </x:c>
    </x:row>
    <x:row r="57" ht="54" customHeight="1">
      <x:c r="A57" s="60" t="n">
        <x:v>2025</x:v>
      </x:c>
      <x:c r="B57" s="60" t="str">
        <x:v>2025 年国家统一法律职业资格考试主观题</x:v>
      </x:c>
      <x:c r="C57" s="60" t="str">
        <x:v>三</x:v>
      </x:c>
      <x:c r="D57" s="60" t="str">
        <x:v>刑事诉讼法</x:v>
      </x:c>
      <x:c r="E57" s="60" t="str">
        <x:v>认罪认罚、行政处罚材料、鉴定、侦查实验、抗诉</x:v>
      </x:c>
      <x:c r="F57" s="60" t="str">
        <x:v>郑某案涉及认罪认罚、既往行政处罚材料用途、受污染血样鉴定、侦查实验、证人证言及期限后补充抗诉。</x:v>
      </x:c>
      <x:c r="G57" s="60" t="str">
        <x:v>分别审查认罪认罚自愿真实性、行政材料转化使用条件、鉴定检材可靠性、侦查实验程序、证言审查和抗诉期限；程序违法与证据排除不可一概而论。</x:v>
      </x:c>
      <x:c r="H57" s="60" t="str">
        <x:v>回忆版·多源核验</x:v>
      </x:c>
      <x:c r="I57" s="60" t="str">
        <x:v>https://www.sohu.com/a/943712564_121124302</x:v>
      </x:c>
      <x:c r="J57" s="60" t="str">
        <x:v>https://www.sohu.com/a/943712564_121124302</x:v>
      </x:c>
      <x:c r="K57" s="60" t="str">
        <x:v>公开机构教师回忆与解析合辑；不同老师对个别争点可能有分歧。</x:v>
      </x:c>
    </x:row>
    <x:row r="58" ht="54" customHeight="1">
      <x:c r="A58" s="60" t="n">
        <x:v>2025</x:v>
      </x:c>
      <x:c r="B58" s="60" t="str">
        <x:v>2025 年国家统一法律职业资格考试主观题</x:v>
      </x:c>
      <x:c r="C58" s="60" t="str">
        <x:v>四</x:v>
      </x:c>
      <x:c r="D58" s="60" t="str">
        <x:v>民法/民事诉讼法</x:v>
      </x:c>
      <x:c r="E58" s="60" t="str">
        <x:v>民商事综合</x:v>
      </x:c>
      <x:c r="F58" s="60" t="str">
        <x:v>年度民商事综合回忆题，包含多重合同和程序争点。</x:v>
      </x:c>
      <x:c r="G58" s="60" t="str">
        <x:v>建立人物关系与请求权表，按合同效力、履行、担保、侵权或不当得利及程序逐问回应。</x:v>
      </x:c>
      <x:c r="H58" s="60" t="str">
        <x:v>回忆版·多源核验</x:v>
      </x:c>
      <x:c r="I58" s="60" t="str">
        <x:v>https://www.sohu.com/a/943712564_121124302</x:v>
      </x:c>
      <x:c r="J58" s="60" t="str">
        <x:v>https://www.sohu.com/a/943712564_121124302</x:v>
      </x:c>
      <x:c r="K58" s="60" t="str">
        <x:v>公开机构教师回忆与解析合辑；不同老师对个别争点可能有分歧。</x:v>
      </x:c>
    </x:row>
    <x:row r="59" ht="54" customHeight="1">
      <x:c r="A59" s="60" t="n">
        <x:v>2025</x:v>
      </x:c>
      <x:c r="B59" s="60" t="str">
        <x:v>2025 年国家统一法律职业资格考试主观题</x:v>
      </x:c>
      <x:c r="C59" s="60" t="str">
        <x:v>五</x:v>
      </x:c>
      <x:c r="D59" s="60" t="str">
        <x:v>商法</x:v>
      </x:c>
      <x:c r="E59" s="60" t="str">
        <x:v>公司法与破产法</x:v>
      </x:c>
      <x:c r="F59" s="60" t="str">
        <x:v>年度商法选做题围绕新公司法语境下的资本与治理。</x:v>
      </x:c>
      <x:c r="G59" s="60" t="str">
        <x:v>优先核对新公司法施行后的出资期限、股东责任、决议和董监高义务，再处理破产影响。</x:v>
      </x:c>
      <x:c r="H59" s="60" t="str">
        <x:v>回忆版·多源核验</x:v>
      </x:c>
      <x:c r="I59" s="60" t="str">
        <x:v>https://www.sohu.com/a/943712564_121124302</x:v>
      </x:c>
      <x:c r="J59" s="60" t="str">
        <x:v>https://www.sohu.com/a/943712564_121124302</x:v>
      </x:c>
      <x:c r="K59" s="60" t="str">
        <x:v>公开机构教师回忆与解析合辑；不同老师对个别争点可能有分歧。</x:v>
      </x:c>
    </x:row>
    <x:row r="60" ht="54" customHeight="1">
      <x:c r="A60" s="60" t="n">
        <x:v>2025</x:v>
      </x:c>
      <x:c r="B60" s="60" t="str">
        <x:v>2025 年国家统一法律职业资格考试主观题</x:v>
      </x:c>
      <x:c r="C60" s="60" t="str">
        <x:v>选做</x:v>
      </x:c>
      <x:c r="D60" s="60" t="str">
        <x:v>行政法</x:v>
      </x:c>
      <x:c r="E60" s="60" t="str">
        <x:v>行政法综合</x:v>
      </x:c>
      <x:c r="F60" s="60" t="str">
        <x:v>行政执法、复议或诉讼救济综合回忆题。</x:v>
      </x:c>
      <x:c r="G60" s="60" t="str">
        <x:v>逐问标出行为性质、主体、程序和裁判方式；与教师答案冲突处保留分歧，不把回忆版写成官方答案。</x:v>
      </x:c>
      <x:c r="H60" s="60" t="str">
        <x:v>回忆版·多源核验</x:v>
      </x:c>
      <x:c r="I60" s="60" t="str">
        <x:v>https://www.sohu.com/a/943712564_121124302</x:v>
      </x:c>
      <x:c r="J60" s="60" t="str">
        <x:v>https://www.sohu.com/a/943712564_121124302</x:v>
      </x:c>
      <x:c r="K60" s="60" t="str">
        <x:v>公开机构教师回忆与解析合辑；不同老师对个别争点可能有分歧。</x:v>
      </x:c>
    </x:row>
  </x:sheetData>
  <x:mergeCells>
    <x:mergeCell ref="A1:K1"/>
    <x:mergeCell ref="A2:K2"/>
  </x:mergeCells>
  <x:pageMargins left="0.7" right="0.7" top="0.75" bottom="0.75" header="0.3" footer="0.3"/>
  <x:tableParts count="1">
    <x:tablePart xmlns:r="http://schemas.openxmlformats.org/officeDocument/2006/relationships" r:id="Rba5e7e09f76b462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15" hidden="0" customWidth="1"/>
    <x:col min="4" max="4" width="68" hidden="0" customWidth="1"/>
    <x:col min="5" max="5" width="42" hidden="0" customWidth="1"/>
  </x:cols>
  <x:sheetData>
    <x:row r="1" ht="34" customHeight="1">
      <x:c r="A1" s="3" t="str">
        <x:v>2026 主观题机构覆盖与检索缺口</x:v>
      </x:c>
      <x:c r="B1" s="3" t="str">
        <x:v>2026 主观题机构覆盖与检索缺口</x:v>
      </x:c>
      <x:c r="C1" s="3" t="str">
        <x:v>2026 主观题机构覆盖与检索缺口</x:v>
      </x:c>
      <x:c r="D1" s="3" t="str">
        <x:v>2026 主观题机构覆盖与检索缺口</x:v>
      </x:c>
      <x:c r="E1" s="3" t="str">
        <x:v>2026 主观题机构覆盖与检索缺口</x:v>
      </x:c>
    </x:row>
    <x:row r="2" ht="30" customHeight="1">
      <x:c r="A2" s="7" t="str">
        <x:v>未检索到公开归档不等于机构没有课程；客观题系列单列排除</x:v>
      </x:c>
      <x:c r="B2" s="7" t="str">
        <x:v>未检索到公开归档不等于机构没有课程；客观题系列单列排除</x:v>
      </x:c>
      <x:c r="C2" s="7" t="str">
        <x:v>未检索到公开归档不等于机构没有课程；客观题系列单列排除</x:v>
      </x:c>
      <x:c r="D2" s="7" t="str">
        <x:v>未检索到公开归档不等于机构没有课程；客观题系列单列排除</x:v>
      </x:c>
      <x:c r="E2" s="7" t="str">
        <x:v>未检索到公开归档不等于机构没有课程；客观题系列单列排除</x:v>
      </x:c>
    </x:row>
    <x:row r="3" ht="28" customHeight="1">
      <x:c r="A3" s="56" t="str">
        <x:v>机构/系列</x:v>
      </x:c>
      <x:c r="B3" s="56" t="str">
        <x:v>老师</x:v>
      </x:c>
      <x:c r="C3" s="56" t="str">
        <x:v>状态</x:v>
      </x:c>
      <x:c r="D3" s="56" t="str">
        <x:v>核验说明</x:v>
      </x:c>
      <x:c r="E3" s="56" t="str">
        <x:v>公开依据</x:v>
      </x:c>
    </x:row>
    <x:row r="4" ht="54" customHeight="1">
      <x:c r="A4" s="60" t="str">
        <x:v>方圆众合</x:v>
      </x:c>
      <x:c r="B4" s="60" t="str">
        <x:v>李佳、孟献贵</x:v>
      </x:c>
      <x:c r="C4" s="60" t="str">
        <x:v>已收录</x:v>
      </x:c>
      <x:c r="D4" s="60" t="str">
        <x:v>公开核验到李佳主观题每日一题 13 道；孟献贵民商法案例带学训练营第 225—232 题作为高质量样本收录。</x:v>
      </x:c>
      <x:c r="E4" s="60" t="str">
        <x:v>https://www.sina.cn/media/1552849431</x:v>
      </x:c>
    </x:row>
    <x:row r="5" ht="54" customHeight="1">
      <x:c r="A5" s="60" t="str">
        <x:v>瑞达法考</x:v>
      </x:c>
      <x:c r="B5" s="60" t="str">
        <x:v>蔡雅奇、王斌、钟秀勇、徐金桂、杨雄、李晗、宋光明、李晓晓等</x:v>
      </x:c>
      <x:c r="C5" s="60" t="str">
        <x:v>持续追踪</x:v>
      </x:c>
      <x:c r="D5" s="60" t="str">
        <x:v>官网可核验 2026 主观题课程与师资，但未检索到无需登录、可逐题核验的主观题“每日一题”公开归档。</x:v>
      </x:c>
      <x:c r="E5" s="60" t="str">
        <x:v>https://www.ruidaedu.com/book/</x:v>
      </x:c>
    </x:row>
    <x:row r="6" ht="54" customHeight="1">
      <x:c r="A6" s="60" t="str">
        <x:v>厚大法考</x:v>
      </x:c>
      <x:c r="B6" s="60" t="str">
        <x:v>公开课程师资</x:v>
      </x:c>
      <x:c r="C6" s="60" t="str">
        <x:v>持续追踪</x:v>
      </x:c>
      <x:c r="D6" s="60" t="str">
        <x:v>官网及公开视频可确认主观题课程；部分题库属于课程或付费资料，本库不复制受限内容。</x:v>
      </x:c>
      <x:c r="E6" s="60" t="str">
        <x:v>https://www.houdask.com/</x:v>
      </x:c>
    </x:row>
    <x:row r="7" ht="54" customHeight="1">
      <x:c r="A7" s="60" t="str">
        <x:v>觉晓法考</x:v>
      </x:c>
      <x:c r="B7" s="60" t="str">
        <x:v>公开课程师资</x:v>
      </x:c>
      <x:c r="C7" s="60" t="str">
        <x:v>持续追踪</x:v>
      </x:c>
      <x:c r="D7" s="60" t="str">
        <x:v>检索到公开经验与课程资源，但尚未找到稳定、逐题带答案的 2026 主观题日练公开归档。</x:v>
      </x:c>
      <x:c r="E7" s="60" t="str">
        <x:v>https://www.juexiaotime.com/official/storyResourses/dist/story-933.html</x:v>
      </x:c>
    </x:row>
    <x:row r="8" ht="54" customHeight="1">
      <x:c r="A8" s="60" t="str">
        <x:v>桑磊法考</x:v>
      </x:c>
      <x:c r="B8" s="60" t="str">
        <x:v>桑磊团队</x:v>
      </x:c>
      <x:c r="C8" s="60" t="str">
        <x:v>持续追踪</x:v>
      </x:c>
      <x:c r="D8" s="60" t="str">
        <x:v>官网可核验 2026 课程安排，未发现无需登录的主观题每日一题完整归档。</x:v>
      </x:c>
      <x:c r="E8" s="60" t="str">
        <x:v>https://www.sangleifakao.com/</x:v>
      </x:c>
    </x:row>
    <x:row r="9" ht="54" customHeight="1">
      <x:c r="A9" s="60" t="str">
        <x:v>柏杜法考</x:v>
      </x:c>
      <x:c r="B9" s="60" t="str">
        <x:v>柏浪涛等</x:v>
      </x:c>
      <x:c r="C9" s="60" t="str">
        <x:v>已排除误收</x:v>
      </x:c>
      <x:c r="D9" s="60" t="str">
        <x:v>检索到的高频“每日一题”多为客观题训练，不并入主观题库。</x:v>
      </x:c>
      <x:c r="E9" s="60" t="str">
        <x:v>https://www.sina.cn/media/7424709715</x:v>
      </x:c>
    </x:row>
    <x:row r="10" ht="54" customHeight="1">
      <x:c r="A10" s="60" t="str">
        <x:v>文都法考</x:v>
      </x:c>
      <x:c r="B10" s="60" t="str">
        <x:v>公开课程师资</x:v>
      </x:c>
      <x:c r="C10" s="60" t="str">
        <x:v>持续追踪</x:v>
      </x:c>
      <x:c r="D10" s="60" t="str">
        <x:v>未检索到稳定可公开核验的 2026 主观题每日一题归档；保留机构观察位。</x:v>
      </x:c>
      <x:c r="E10" s="60" t="str">
        <x:v>https://www.wendu.com/</x:v>
      </x:c>
    </x:row>
    <x:row r="11" ht="54" customHeight="1">
      <x:c r="A11" s="60" t="str">
        <x:v>众合刑诉等客观日题</x:v>
      </x:c>
      <x:c r="B11" s="60" t="str">
        <x:v>左宁等</x:v>
      </x:c>
      <x:c r="C11" s="60" t="str">
        <x:v>已排除误收</x:v>
      </x:c>
      <x:c r="D11" s="60" t="str">
        <x:v>公开视频标题或课程信息明确标注“客观每日一题”，即使按主观标准讲解，也不改变题型属性。</x:v>
      </x:c>
      <x:c r="E11" s="60" t="str">
        <x:v>https://www.bilibili.com/list/417302260?bvid=BV19vLc6wEMt&amp;oid=116593463922768</x:v>
      </x:c>
    </x:row>
  </x:sheetData>
  <x:mergeCells>
    <x:mergeCell ref="A1:E1"/>
    <x:mergeCell ref="A2:E2"/>
  </x:mergeCells>
  <x:pageMargins left="0.7" right="0.7" top="0.75" bottom="0.75" header="0.3" footer="0.3"/>
  <x:tableParts count="1">
    <x:tablePart xmlns:r="http://schemas.openxmlformats.org/officeDocument/2006/relationships" r:id="R06b7e4d36b45492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55" hidden="0" customWidth="1"/>
    <x:col min="4" max="4" width="40" hidden="0" customWidth="1"/>
  </x:cols>
  <x:sheetData>
    <x:row r="1" ht="34" customHeight="1">
      <x:c r="A1" s="3" t="str">
        <x:v>字段与可信度说明</x:v>
      </x:c>
      <x:c r="B1" s="3" t="str">
        <x:v>字段与可信度说明</x:v>
      </x:c>
      <x:c r="C1" s="3" t="str">
        <x:v>字段与可信度说明</x:v>
      </x:c>
      <x:c r="D1" s="3" t="str">
        <x:v>字段与可信度说明</x:v>
      </x:c>
    </x:row>
    <x:row r="2" ht="30" customHeight="1">
      <x:c r="A2" s="7" t="str">
        <x:v>用于后续人工追加、核验和增量更新</x:v>
      </x:c>
      <x:c r="B2" s="7" t="str">
        <x:v>用于后续人工追加、核验和增量更新</x:v>
      </x:c>
      <x:c r="C2" s="7" t="str">
        <x:v>用于后续人工追加、核验和增量更新</x:v>
      </x:c>
      <x:c r="D2" s="7" t="str">
        <x:v>用于后续人工追加、核验和增量更新</x:v>
      </x:c>
    </x:row>
    <x:row r="3" ht="28" customHeight="1">
      <x:c r="A3" s="56" t="str">
        <x:v>字段</x:v>
      </x:c>
      <x:c r="B3" s="56" t="str">
        <x:v>含义</x:v>
      </x:c>
      <x:c r="C3" s="56" t="str">
        <x:v>填写规则</x:v>
      </x:c>
      <x:c r="D3" s="56" t="str">
        <x:v>示例</x:v>
      </x:c>
    </x:row>
    <x:row r="4" ht="54" customHeight="1">
      <x:c r="A4" s="60" t="str">
        <x:v>题面摘要</x:v>
      </x:c>
      <x:c r="B4" s="60" t="str">
        <x:v>公开题目的结构化概述</x:v>
      </x:c>
      <x:c r="C4" s="60" t="str">
        <x:v>避免大段转载；保留关键事实与设问</x:v>
      </x:c>
      <x:c r="D4" s="60" t="str">
        <x:v>谁是被告、行为性质如何判断</x:v>
      </x:c>
    </x:row>
    <x:row r="5" ht="54" customHeight="1">
      <x:c r="A5" s="60" t="str">
        <x:v>来源答案摘要</x:v>
      </x:c>
      <x:c r="B5" s="60" t="str">
        <x:v>老师或公开解析的压缩</x:v>
      </x:c>
      <x:c r="C5" s="60" t="str">
        <x:v>忠实于来源；存在分歧时明确列出</x:v>
      </x:c>
      <x:c r="D5" s="60" t="str">
        <x:v>主流观点……另一观点……</x:v>
      </x:c>
    </x:row>
    <x:row r="6" ht="54" customHeight="1">
      <x:c r="A6" s="60" t="str">
        <x:v>主观作答框架</x:v>
      </x:c>
      <x:c r="B6" s="60" t="str">
        <x:v>便于落笔的标准化表达</x:v>
      </x:c>
      <x:c r="C6" s="60" t="str">
        <x:v>争点—规范—涵摄—结论</x:v>
      </x:c>
      <x:c r="D6" s="60" t="str">
        <x:v>先识别行为，再判断依据……</x:v>
      </x:c>
    </x:row>
    <x:row r="7" ht="54" customHeight="1">
      <x:c r="A7" s="60" t="str">
        <x:v>官方公布</x:v>
      </x:c>
      <x:c r="B7" s="60" t="str">
        <x:v>司法行政机关正式公开</x:v>
      </x:c>
      <x:c r="C7" s="60" t="str">
        <x:v>当前主要适用于 2016—2017</x:v>
      </x:c>
      <x:c r="D7" s="60" t="str">
        <x:v>2017 司法考试试卷四</x:v>
      </x:c>
    </x:row>
    <x:row r="8" ht="54" customHeight="1">
      <x:c r="A8" s="60" t="str">
        <x:v>回忆版·多源核验</x:v>
      </x:c>
      <x:c r="B8" s="60" t="str">
        <x:v>考生回忆与教师解析可相互印证</x:v>
      </x:c>
      <x:c r="C8" s="60" t="str">
        <x:v>不得称为官方题面或标准答案</x:v>
      </x:c>
      <x:c r="D8" s="60" t="str">
        <x:v>2018—2025</x:v>
      </x:c>
    </x:row>
    <x:row r="9" ht="54" customHeight="1">
      <x:c r="A9" s="60" t="str">
        <x:v>题面已核验·答案待核验</x:v>
      </x:c>
      <x:c r="B9" s="60" t="str">
        <x:v>题目可见但答案尚未稳定获取</x:v>
      </x:c>
      <x:c r="C9" s="60" t="str">
        <x:v>不推测教师结论</x:v>
      </x:c>
      <x:c r="D9" s="60" t="str">
        <x:v>2026 李佳第 13 题</x:v>
      </x:c>
    </x:row>
    <x:row r="10" ht="54" customHeight="1">
      <x:c r="A10" s="60" t="str">
        <x:v>持续追踪</x:v>
      </x:c>
      <x:c r="B10" s="60" t="str">
        <x:v>尚无可逐题核验的公开主观题归档</x:v>
      </x:c>
      <x:c r="C10" s="60" t="str">
        <x:v>只进入覆盖表，不进入题库正文</x:v>
      </x:c>
      <x:c r="D10" s="60" t="str">
        <x:v>课程内或登录后可见</x:v>
      </x:c>
    </x:row>
  </x:sheetData>
  <x:mergeCells>
    <x:mergeCell ref="A1:D1"/>
    <x:mergeCell ref="A2:D2"/>
  </x:mergeCells>
  <x:pageMargins left="0.7" right="0.7" top="0.75" bottom="0.75" header="0.3" footer="0.3"/>
  <x:tableParts count="1">
    <x:tablePart xmlns:r="http://schemas.openxmlformats.org/officeDocument/2006/relationships" r:id="Ra0d343b63cc7494a"/>
  </x:tableParts>
</x:worksheet>
</file>